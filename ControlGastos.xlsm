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cald\Documents\"/>
    </mc:Choice>
  </mc:AlternateContent>
  <xr:revisionPtr revIDLastSave="0" documentId="13_ncr:1_{D432237D-6E15-449F-BD18-064F613B74B5}" xr6:coauthVersionLast="47" xr6:coauthVersionMax="47" xr10:uidLastSave="{00000000-0000-0000-0000-000000000000}"/>
  <bookViews>
    <workbookView xWindow="-108" yWindow="-108" windowWidth="23256" windowHeight="12456" tabRatio="750" firstSheet="1" activeTab="15" xr2:uid="{00000000-000D-0000-FFFF-FFFF00000000}"/>
  </bookViews>
  <sheets>
    <sheet name="Carga de Datos" sheetId="2" r:id="rId1"/>
    <sheet name="Ventas Diarias" sheetId="13" r:id="rId2"/>
    <sheet name="Ventas" sheetId="8" state="hidden" r:id="rId3"/>
    <sheet name="GastosFijos" sheetId="3" state="hidden" r:id="rId4"/>
    <sheet name="Proveedores" sheetId="4" state="hidden" r:id="rId5"/>
    <sheet name="Nomina" sheetId="5" state="hidden" r:id="rId6"/>
    <sheet name="Datos" sheetId="6" state="hidden" r:id="rId7"/>
    <sheet name="MovimientoProductos" sheetId="9" r:id="rId8"/>
    <sheet name="Pago a Proveedores" sheetId="14" r:id="rId9"/>
    <sheet name="Detalle Mensual" sheetId="7" r:id="rId10"/>
    <sheet name="Cajachica" sheetId="12" state="hidden" r:id="rId11"/>
    <sheet name="usuarios" sheetId="16" r:id="rId12"/>
    <sheet name="Logo" sheetId="17" state="hidden" r:id="rId13"/>
    <sheet name="Pendientes" sheetId="22" state="hidden" r:id="rId14"/>
    <sheet name="Banco" sheetId="18" state="hidden" r:id="rId15"/>
    <sheet name="Tendencias" sheetId="24" r:id="rId16"/>
    <sheet name="Graficos" sheetId="21" r:id="rId17"/>
    <sheet name="Tablas" sheetId="20" r:id="rId18"/>
  </sheets>
  <functionGroups builtInGroupCount="19"/>
  <definedNames>
    <definedName name="_xlnm.Print_Area" localSheetId="7">MovimientoProductos!#REF!</definedName>
    <definedName name="DatosExternos_1" localSheetId="17" hidden="1">Tablas!$A$1:$E$115</definedName>
    <definedName name="dinamica">MovimientoProductos!$A$2:$E$108</definedName>
    <definedName name="Pendientes">Tabla8[#All]</definedName>
    <definedName name="query">Hoja1__2[]</definedName>
    <definedName name="SegmentaciónDeDatos_Categoria1">#N/A</definedName>
    <definedName name="SegmentaciónDeDatos_Producto">#N/A</definedName>
    <definedName name="TablaProveedor">Proveedores!$A$5:$D$97</definedName>
    <definedName name="TablaVentas">Ventas!$A$5:$C$76</definedName>
  </definedNames>
  <calcPr calcId="181029"/>
  <pivotCaches>
    <pivotCache cacheId="0" r:id="rId19"/>
    <pivotCache cacheId="6" r:id="rId20"/>
    <pivotCache cacheId="10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24" l="1"/>
  <c r="D16" i="24" l="1"/>
  <c r="D15" i="24"/>
  <c r="E9" i="24" l="1"/>
  <c r="E8" i="24"/>
  <c r="E86" i="18" l="1"/>
  <c r="E85" i="18"/>
  <c r="E84" i="18" s="1"/>
  <c r="E83" i="18" s="1"/>
  <c r="E82" i="18" s="1"/>
  <c r="E81" i="18" s="1"/>
  <c r="E80" i="18" s="1"/>
  <c r="E79" i="18" s="1"/>
  <c r="E78" i="18" s="1"/>
  <c r="E77" i="18" s="1"/>
  <c r="E76" i="18" s="1"/>
  <c r="E75" i="18" s="1"/>
  <c r="E74" i="18" s="1"/>
  <c r="E73" i="18" s="1"/>
  <c r="E72" i="18" s="1"/>
  <c r="E71" i="18" s="1"/>
  <c r="E70" i="18" s="1"/>
  <c r="E69" i="18" s="1"/>
  <c r="E68" i="18" s="1"/>
  <c r="E67" i="18" s="1"/>
  <c r="E66" i="18" s="1"/>
  <c r="E65" i="18" s="1"/>
  <c r="E64" i="18" s="1"/>
  <c r="E63" i="18" s="1"/>
  <c r="E62" i="18" s="1"/>
  <c r="E61" i="18" s="1"/>
  <c r="E60" i="18" s="1"/>
  <c r="E59" i="18" s="1"/>
  <c r="E58" i="18" s="1"/>
  <c r="E57" i="18" s="1"/>
  <c r="E56" i="18" s="1"/>
  <c r="E55" i="18" s="1"/>
  <c r="E54" i="18" s="1"/>
  <c r="E53" i="18" s="1"/>
  <c r="E52" i="18" s="1"/>
  <c r="E51" i="18" s="1"/>
  <c r="H1" i="18"/>
  <c r="J3" i="22"/>
  <c r="C83" i="12"/>
  <c r="H1" i="12"/>
  <c r="J1" i="22" s="1"/>
  <c r="J2" i="22" s="1"/>
  <c r="P1" i="18" s="1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D4" i="5"/>
  <c r="L2" i="5"/>
  <c r="E7" i="7" s="1"/>
  <c r="J2" i="5"/>
  <c r="E5" i="7" s="1"/>
  <c r="H2" i="5"/>
  <c r="E3" i="7" s="1"/>
  <c r="L1" i="5"/>
  <c r="E6" i="7" s="1"/>
  <c r="J1" i="5"/>
  <c r="E4" i="7" s="1"/>
  <c r="H1" i="5"/>
  <c r="D4" i="4"/>
  <c r="L2" i="4"/>
  <c r="D7" i="7" s="1"/>
  <c r="J2" i="4"/>
  <c r="D5" i="7" s="1"/>
  <c r="H2" i="4"/>
  <c r="D3" i="7" s="1"/>
  <c r="L1" i="4"/>
  <c r="D6" i="7" s="1"/>
  <c r="J1" i="4"/>
  <c r="D4" i="7" s="1"/>
  <c r="H1" i="4"/>
  <c r="D4" i="3"/>
  <c r="L2" i="3"/>
  <c r="C7" i="7" s="1"/>
  <c r="J2" i="3"/>
  <c r="C5" i="7" s="1"/>
  <c r="H2" i="3"/>
  <c r="C3" i="7" s="1"/>
  <c r="F3" i="7" s="1"/>
  <c r="L1" i="3"/>
  <c r="C6" i="7" s="1"/>
  <c r="J1" i="3"/>
  <c r="C4" i="7" s="1"/>
  <c r="H1" i="3"/>
  <c r="D4" i="8"/>
  <c r="I3" i="7" s="1"/>
  <c r="C4" i="8"/>
  <c r="E4" i="8" s="1"/>
  <c r="J3" i="7" s="1"/>
  <c r="L2" i="8"/>
  <c r="B7" i="7" s="1"/>
  <c r="J2" i="8"/>
  <c r="B5" i="7" s="1"/>
  <c r="H2" i="8"/>
  <c r="B3" i="7" s="1"/>
  <c r="G3" i="7" s="1"/>
  <c r="L1" i="8"/>
  <c r="B6" i="7" s="1"/>
  <c r="J1" i="8"/>
  <c r="B4" i="7" s="1"/>
  <c r="H1" i="8"/>
  <c r="F7" i="7" l="1"/>
  <c r="G7" i="7"/>
  <c r="G4" i="7"/>
  <c r="F4" i="7"/>
  <c r="J4" i="7" s="1"/>
  <c r="G6" i="7"/>
  <c r="F6" i="7"/>
  <c r="K1" i="18"/>
  <c r="G5" i="7"/>
  <c r="F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H1" authorId="0" shapeId="0" xr:uid="{00000000-0006-0000-0A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50 Euros menos porque es el monto de caja.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Hoja1 (2)" description="Conexión a la consulta 'Hoja1 (2)' en el libro." type="5" refreshedVersion="5" background="1" saveData="1">
    <dbPr connection="provider=Microsoft.Mashup.OleDb.1;data source=$EmbeddedMashup(b52a2e0f-9d82-49e5-bad2-d4782c97c26e)$;location=&quot;Hoja1 (2)&quot;;extended properties=&quot;UEsDBBQAAgAIAOuRUk8wxAptqgAAAPoAAAASABwAQ29uZmlnL1BhY2thZ2UueG1sIKIYACigFAAAAAAAAAAAAAAAAAAAAAAAAAAAAIWPzwqCQBjEX0X27rd/xEj5XA/RLSEQoqvopku6hrum79ahR+oVCsro1m1mmB/MPG53TOeu9a5qsLo3CeHAiKdM2Vfa1AkZ3clfk1TivijPRa28V9nYeLY6IY1zl5jSaZpgCqAfaioY4/SY7fKyUV3ha2NdYUpFvlT1nyISD+8xUkAYQciDEATjSJcYM20WzSGEQEQrYEh/YtyMrRsHJZX1tznSxSL9/JBPUEsDBBQAAgAIAOuRUk8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rkVJPOrhpV3gCAABeBwAAEwAcAEZvcm11bGFzL1NlY3Rpb24xLm0gohgAKKAUAAAAAAAAAAAAAAAAAAAAAAAAAAAArZVNb9swDIbvAfIfBPXiAEaApMUOK3JovRYNiqFBHXSHtBhom020ylImyUWaIP+9VD6dD2/d0FxiUCLfhxRFWUyd0IrFy//Web1Wr9kRGMzYCb/Rv6DFgnaDsw6T6Oo1Rr87I4aoyHI1SVE2f2jzkmj9ElwLic1IK4fK2YBHXx9vYWyEm2j7GIPK3h57RmdF6rR9QJWJTNvmRFreCJkqpAyZMwU2wqXIQvpnPEJ0pLSUnA26DvPOEouHt0JlHb7Ywp/mg2/g4GnlfcKvVAoJToFE2NjoXL96PZ9HHxLi7HmbwxuEDI0NSnIhG6wWL6SMU5BgbMejPTU20ftirFkKeSJIYBu0b0DZZ23ySMsiV/23MdqgkiWczXgEDofaCOCUPm1nDiduHrIZX9fqYIFq54C8WVe5L2dNL7Kwx0XS1w7k2kEVeYJmsdTNxwVa5zUP1qp81uFYpK3DIxsuUeGzSIXeW5tvy3TnDFiWLopBH78L4SCD0inEKKnxltXyldqta7hbn3JJtlVYJVBS7dGBagVSUMWBwdDgkD62ohdZtlQMqgm9WimMl0RIR2ywASp1Q7R2N6hNhmo3x/uF0WyTrOCjbPcl/yv9DU1K91rpPDF4pFXvCTPHLdTRHHyHVjO1ePmsH0BqQ96YjyVM97TIlCLtKDD4C2DIe2I6BXYNuZACzNrAw1UUsxOu3CIt/iecViXPIfka4jtmAhR8GkP74wytDUSXRiUNjMLf0k/iOP04R5tEL2kWSun7gUdoXvETCM4+TnDq0yZTieJBKD/L/o2BnifquSMXNNbGHRM+253QdCL0DtFNbl7Y1L9fakj9X68JVaVw/g5QSwECLQAUAAIACADrkVJPMMQKbaoAAAD6AAAAEgAAAAAAAAAAAAAAAAAAAAAAQ29uZmlnL1BhY2thZ2UueG1sUEsBAi0AFAACAAgA65FSTw/K6aukAAAA6QAAABMAAAAAAAAAAAAAAAAA9gAAAFtDb250ZW50X1R5cGVzXS54bWxQSwECLQAUAAIACADrkVJPOrhpV3gCAABeBwAAEwAAAAAAAAAAAAAAAADnAQAARm9ybXVsYXMvU2VjdGlvbjEubVBLBQYAAAAAAwADAMIAAACsBAAAAAA=&quot;" command="SELECT * FROM [Hoja1 (2)]"/>
  </connection>
</connections>
</file>

<file path=xl/sharedStrings.xml><?xml version="1.0" encoding="utf-8"?>
<sst xmlns="http://schemas.openxmlformats.org/spreadsheetml/2006/main" count="1647" uniqueCount="339">
  <si>
    <t>Gastos Fijos</t>
  </si>
  <si>
    <t>Pago a Proveedores</t>
  </si>
  <si>
    <t>Nómina</t>
  </si>
  <si>
    <t>Ventas</t>
  </si>
  <si>
    <t>Servicio</t>
  </si>
  <si>
    <t>Monto</t>
  </si>
  <si>
    <t>Proveedor</t>
  </si>
  <si>
    <t xml:space="preserve">Monto </t>
  </si>
  <si>
    <t>Empleado</t>
  </si>
  <si>
    <t>Fecha</t>
  </si>
  <si>
    <t xml:space="preserve">VODAFONE	</t>
  </si>
  <si>
    <t>ALCAMPO</t>
  </si>
  <si>
    <t>ALQUILER</t>
  </si>
  <si>
    <t>LEROY MERLIN</t>
  </si>
  <si>
    <t>ASESORÍA</t>
  </si>
  <si>
    <t>MAKRO</t>
  </si>
  <si>
    <t>AUTÓNOMO</t>
  </si>
  <si>
    <t>Total Gastos</t>
  </si>
  <si>
    <t>AGUA</t>
  </si>
  <si>
    <t>BAZAR LIU</t>
  </si>
  <si>
    <t>BM</t>
  </si>
  <si>
    <t>MERKA KING</t>
  </si>
  <si>
    <t>FIBRACLIM</t>
  </si>
  <si>
    <t>360IMPRIMIR</t>
  </si>
  <si>
    <t>LICENCIA SYSME</t>
  </si>
  <si>
    <t>Nombre</t>
  </si>
  <si>
    <t>Gastos fijos</t>
  </si>
  <si>
    <t>LUZ</t>
  </si>
  <si>
    <t>26/08/2019</t>
  </si>
  <si>
    <t>Agosto</t>
  </si>
  <si>
    <t>Septiembre</t>
  </si>
  <si>
    <t>Octubre</t>
  </si>
  <si>
    <t>Noviembre</t>
  </si>
  <si>
    <t>Diciembre</t>
  </si>
  <si>
    <t>Nomina</t>
  </si>
  <si>
    <t>Diferencia</t>
  </si>
  <si>
    <t>27/08/2019</t>
  </si>
  <si>
    <t>Total general</t>
  </si>
  <si>
    <t>URRUTIA</t>
  </si>
  <si>
    <t>REV. LUZ</t>
  </si>
  <si>
    <t>COCINA</t>
  </si>
  <si>
    <t>CPU (TPV)</t>
  </si>
  <si>
    <t>RECON. LUZ</t>
  </si>
  <si>
    <t>Mes</t>
  </si>
  <si>
    <t>agosto</t>
  </si>
  <si>
    <t>julio</t>
  </si>
  <si>
    <t>28/08/2019</t>
  </si>
  <si>
    <t>septiembre</t>
  </si>
  <si>
    <t>octubre</t>
  </si>
  <si>
    <t>noviembre</t>
  </si>
  <si>
    <t>diciembre</t>
  </si>
  <si>
    <t>29/08/2019</t>
  </si>
  <si>
    <t>30/08/2019</t>
  </si>
  <si>
    <t>TUDIS</t>
  </si>
  <si>
    <t>31/08/2019</t>
  </si>
  <si>
    <t>CREVILLENTE SL</t>
  </si>
  <si>
    <t>01/09/2019</t>
  </si>
  <si>
    <t>fecha</t>
  </si>
  <si>
    <t xml:space="preserve">concepto </t>
  </si>
  <si>
    <t>saldo</t>
  </si>
  <si>
    <t>depositos</t>
  </si>
  <si>
    <t>pagos</t>
  </si>
  <si>
    <t>saldo total:</t>
  </si>
  <si>
    <t>03/09/2019</t>
  </si>
  <si>
    <t>02/09/2019</t>
  </si>
  <si>
    <t>VENTAS EN EFECTIVO</t>
  </si>
  <si>
    <t>VENTAS ELECTRONICAS</t>
  </si>
  <si>
    <t>04/09/2019</t>
  </si>
  <si>
    <t>SALDO INICIAL</t>
  </si>
  <si>
    <t>05/09/2019</t>
  </si>
  <si>
    <t>06/09/2019</t>
  </si>
  <si>
    <t>COMPRA EN SUPERMERCADO</t>
  </si>
  <si>
    <t>07/09/2019</t>
  </si>
  <si>
    <t>PAGO DE ALQUILER</t>
  </si>
  <si>
    <t>08/09/2019</t>
  </si>
  <si>
    <t>10/09/2019</t>
  </si>
  <si>
    <t>TRANSFERENCIA A BANCO</t>
  </si>
  <si>
    <t>11/09/2019</t>
  </si>
  <si>
    <t>TRANFERENCIA RECIBIDA</t>
  </si>
  <si>
    <t>PAGO DE LUZ</t>
  </si>
  <si>
    <t>12/09/2019</t>
  </si>
  <si>
    <t>DIA</t>
  </si>
  <si>
    <t>COMPRA MAKRO</t>
  </si>
  <si>
    <t>VENTAS EFECTIVO</t>
  </si>
  <si>
    <t>13/09/2019</t>
  </si>
  <si>
    <t>COMPRAS EN MAKRO</t>
  </si>
  <si>
    <t>PAGO VODAFONE</t>
  </si>
  <si>
    <t>VENTAS TARJETA</t>
  </si>
  <si>
    <t>14/09/2019</t>
  </si>
  <si>
    <t>COMPRA EN MAKRO</t>
  </si>
  <si>
    <t>VENTA EFECTIVO</t>
  </si>
  <si>
    <t>VENTA ELECTRONICA</t>
  </si>
  <si>
    <t>15/09/2019</t>
  </si>
  <si>
    <t>CUADRAR INICIO DE CAJA</t>
  </si>
  <si>
    <t>VENTAS CON TARJETA</t>
  </si>
  <si>
    <t>16/09/2019</t>
  </si>
  <si>
    <t>DEPOSITO EN EL BANCO</t>
  </si>
  <si>
    <t>17/09/2019</t>
  </si>
  <si>
    <t>VASCO FRIO AM-2100</t>
  </si>
  <si>
    <t>URRUTIA FACTURA 7945</t>
  </si>
  <si>
    <t>VENTAS EFECTIV0</t>
  </si>
  <si>
    <t>18/09/2019</t>
  </si>
  <si>
    <t>COMPRAS</t>
  </si>
  <si>
    <t>Categoria</t>
  </si>
  <si>
    <t>Producto</t>
  </si>
  <si>
    <t>Total</t>
  </si>
  <si>
    <t>Pizza Familiar</t>
  </si>
  <si>
    <t>Topping</t>
  </si>
  <si>
    <t>Pizza Mediana</t>
  </si>
  <si>
    <t xml:space="preserve">Topping </t>
  </si>
  <si>
    <t>Aldeana</t>
  </si>
  <si>
    <t>Ragazza</t>
  </si>
  <si>
    <t>Kapritxos</t>
  </si>
  <si>
    <t>BBQ</t>
  </si>
  <si>
    <t>Carbonara</t>
  </si>
  <si>
    <t>Hawaiana</t>
  </si>
  <si>
    <t>Capresa</t>
  </si>
  <si>
    <t>Suprema</t>
  </si>
  <si>
    <t>Sicilana</t>
  </si>
  <si>
    <t>Fatto in Casa</t>
  </si>
  <si>
    <t>4 Quesos</t>
  </si>
  <si>
    <t>Napolitana</t>
  </si>
  <si>
    <t>Margarita</t>
  </si>
  <si>
    <t>Pizza Individual</t>
  </si>
  <si>
    <t>Pasticho</t>
  </si>
  <si>
    <t>Tragos</t>
  </si>
  <si>
    <t>Gin Tonic</t>
  </si>
  <si>
    <t>Kalimotxo</t>
  </si>
  <si>
    <t>Pintxos</t>
  </si>
  <si>
    <t>Chiken Finger</t>
  </si>
  <si>
    <t>Patatas fritas</t>
  </si>
  <si>
    <t>Palomita Pollo</t>
  </si>
  <si>
    <t>Palomita Queso</t>
  </si>
  <si>
    <t>Rabas</t>
  </si>
  <si>
    <t>Pan</t>
  </si>
  <si>
    <t>Pannier</t>
  </si>
  <si>
    <t>Baguette Plus</t>
  </si>
  <si>
    <t>Dulces y tartas</t>
  </si>
  <si>
    <t>Triangulo de Cacao</t>
  </si>
  <si>
    <t>Refrescos</t>
  </si>
  <si>
    <t>Coca Cola lata</t>
  </si>
  <si>
    <t>Coca Cola Zero</t>
  </si>
  <si>
    <t>Coca Cola</t>
  </si>
  <si>
    <t xml:space="preserve">KAS Bitter </t>
  </si>
  <si>
    <t>KAS Naranja</t>
  </si>
  <si>
    <t>KAS Limon</t>
  </si>
  <si>
    <t>Agua</t>
  </si>
  <si>
    <t>Agua Mondariz C/Gas</t>
  </si>
  <si>
    <t>Agua Mondariz 0,3</t>
  </si>
  <si>
    <t>Hamburger</t>
  </si>
  <si>
    <t>Trio MiniBurger</t>
  </si>
  <si>
    <t>Burger Bigger</t>
  </si>
  <si>
    <t>Chik-n Crunch</t>
  </si>
  <si>
    <t>Burger Kapritxos</t>
  </si>
  <si>
    <t>Clasica</t>
  </si>
  <si>
    <t>Zumos</t>
  </si>
  <si>
    <t>Granini Ace</t>
  </si>
  <si>
    <t>Granini Melocoton</t>
  </si>
  <si>
    <t>Te</t>
  </si>
  <si>
    <t>Cafe</t>
  </si>
  <si>
    <t>Con Leche</t>
  </si>
  <si>
    <t>Cortado</t>
  </si>
  <si>
    <t>Solo</t>
  </si>
  <si>
    <t>Botellas</t>
  </si>
  <si>
    <t>Amstel Oro 0,0</t>
  </si>
  <si>
    <t>Rubia 18/70</t>
  </si>
  <si>
    <t>Amstel Oro</t>
  </si>
  <si>
    <t>Heineken 0,0</t>
  </si>
  <si>
    <t>Amstel radler</t>
  </si>
  <si>
    <t>Heineken</t>
  </si>
  <si>
    <t>Vinos</t>
  </si>
  <si>
    <t>Mosto</t>
  </si>
  <si>
    <t>Txakoli</t>
  </si>
  <si>
    <t>Homenaje Rose</t>
  </si>
  <si>
    <t>Nanclares Verdejo</t>
  </si>
  <si>
    <t>Vitoria Blanco</t>
  </si>
  <si>
    <t>Vitoria Rioja</t>
  </si>
  <si>
    <t>Faustino Tinto</t>
  </si>
  <si>
    <t>Por Botellas</t>
  </si>
  <si>
    <t>Nanclares Rueda</t>
  </si>
  <si>
    <t>Vitoria Crianza</t>
  </si>
  <si>
    <t>Ladron de manzanas</t>
  </si>
  <si>
    <t>Cerveza</t>
  </si>
  <si>
    <t>Zurito</t>
  </si>
  <si>
    <t>Caña</t>
  </si>
  <si>
    <t>Nestea</t>
  </si>
  <si>
    <t>Schwepps Naranja</t>
  </si>
  <si>
    <t>Tonica Schweppes</t>
  </si>
  <si>
    <t>Categoria1</t>
  </si>
  <si>
    <t>Pizza</t>
  </si>
  <si>
    <t>Monto diario</t>
  </si>
  <si>
    <t>Monto Total</t>
  </si>
  <si>
    <t>20/09/2019</t>
  </si>
  <si>
    <t>24/09/2019</t>
  </si>
  <si>
    <t>19/09/2019</t>
  </si>
  <si>
    <t>COMPRAS BM</t>
  </si>
  <si>
    <t>21/09/2019</t>
  </si>
  <si>
    <t>VENTAS TAJETA</t>
  </si>
  <si>
    <t>VENTA TARJETA</t>
  </si>
  <si>
    <t>22/09/2019</t>
  </si>
  <si>
    <t>25/09/2019</t>
  </si>
  <si>
    <t>COMPRA EN DIA</t>
  </si>
  <si>
    <t>26/09/2019</t>
  </si>
  <si>
    <t>PAGO URRUTIA</t>
  </si>
  <si>
    <t>27/09/2019</t>
  </si>
  <si>
    <t>Usuario</t>
  </si>
  <si>
    <t>Contraseña</t>
  </si>
  <si>
    <t>Sandy Araujo</t>
  </si>
  <si>
    <t>sandy</t>
  </si>
  <si>
    <t>sdar1970</t>
  </si>
  <si>
    <t>28/09/2019</t>
  </si>
  <si>
    <t>20/09/2018</t>
  </si>
  <si>
    <t>COMISION BANCO</t>
  </si>
  <si>
    <t>26/09/2018</t>
  </si>
  <si>
    <t>CARMEN FIGUEIRA</t>
  </si>
  <si>
    <t>JAVIER NAVARRO</t>
  </si>
  <si>
    <t>SANDY ARAUJO</t>
  </si>
  <si>
    <t>COMPRA EN BAZAR LIU</t>
  </si>
  <si>
    <t>COMPRA EN DIAZ</t>
  </si>
  <si>
    <t>COMPRA BM</t>
  </si>
  <si>
    <t>29/09/2019</t>
  </si>
  <si>
    <t>id</t>
  </si>
  <si>
    <t>30/09/2019</t>
  </si>
  <si>
    <t>01/10/2019</t>
  </si>
  <si>
    <t>COMPRA BAZAR LIU</t>
  </si>
  <si>
    <t>COMPENSACION LICENCIA TPV</t>
  </si>
  <si>
    <t>VODAFONE (FORRO)</t>
  </si>
  <si>
    <t>SEGURIDAD SOCIAL</t>
  </si>
  <si>
    <t>02/10/2019</t>
  </si>
  <si>
    <t>COMPRAS DIA</t>
  </si>
  <si>
    <t>PAGO ASESORIA</t>
  </si>
  <si>
    <t>04/10/2019</t>
  </si>
  <si>
    <t>03/10/2019</t>
  </si>
  <si>
    <t>VENTAS ELECTRONICA</t>
  </si>
  <si>
    <t>PAGO A TUDIS</t>
  </si>
  <si>
    <t>05/10/2019</t>
  </si>
  <si>
    <t xml:space="preserve">COMISION </t>
  </si>
  <si>
    <t>06/10/2019</t>
  </si>
  <si>
    <t>08/10/2019</t>
  </si>
  <si>
    <t>ADELANTO SUELDOS</t>
  </si>
  <si>
    <t xml:space="preserve">COMPRAS DIA </t>
  </si>
  <si>
    <t>enero</t>
  </si>
  <si>
    <t>febrero</t>
  </si>
  <si>
    <t>marzo</t>
  </si>
  <si>
    <t>abril</t>
  </si>
  <si>
    <t>mayo</t>
  </si>
  <si>
    <t>junio</t>
  </si>
  <si>
    <t>admin</t>
  </si>
  <si>
    <t>Administrador</t>
  </si>
  <si>
    <t>MRW</t>
  </si>
  <si>
    <t>09/10/2019</t>
  </si>
  <si>
    <t>PAGO MRW</t>
  </si>
  <si>
    <t>10/10/2019</t>
  </si>
  <si>
    <t>IBERDROLA</t>
  </si>
  <si>
    <t>VENTAS TARJETAzz</t>
  </si>
  <si>
    <t>11/10/2019</t>
  </si>
  <si>
    <t>12/10/2019</t>
  </si>
  <si>
    <t>VENTAS TARJETAS</t>
  </si>
  <si>
    <t>Venta Diaria Promedio</t>
  </si>
  <si>
    <t>Gastos Diario Promedio</t>
  </si>
  <si>
    <t>13/10/2019</t>
  </si>
  <si>
    <t>15/10/2019</t>
  </si>
  <si>
    <t>PAGO TUDIS AM-2314</t>
  </si>
  <si>
    <t>VODAFONE</t>
  </si>
  <si>
    <t>Etiquetas de fila</t>
  </si>
  <si>
    <t>16/10/2019</t>
  </si>
  <si>
    <t>VARIOS</t>
  </si>
  <si>
    <t>SubTotal</t>
  </si>
  <si>
    <t>Impuestos</t>
  </si>
  <si>
    <t>SubTotal Coste</t>
  </si>
  <si>
    <t>Beneficio</t>
  </si>
  <si>
    <t xml:space="preserve">DIA </t>
  </si>
  <si>
    <t xml:space="preserve">VENTAS EFECTIVO </t>
  </si>
  <si>
    <t>Bolleria</t>
  </si>
  <si>
    <t>Croaisant Curvo</t>
  </si>
  <si>
    <t>Colacao</t>
  </si>
  <si>
    <t>Cafe/Llevar</t>
  </si>
  <si>
    <t>Cafe en Vaso</t>
  </si>
  <si>
    <t>Caña/Gas</t>
  </si>
  <si>
    <t>Zurito/Gas</t>
  </si>
  <si>
    <t>Chik-n Crunch Peke</t>
  </si>
  <si>
    <t>Helados</t>
  </si>
  <si>
    <t>Solero Mango</t>
  </si>
  <si>
    <t>Cornetto XXL Vain.</t>
  </si>
  <si>
    <t>Magnun Almendras</t>
  </si>
  <si>
    <t>Super Twister</t>
  </si>
  <si>
    <t>Pasapalos</t>
  </si>
  <si>
    <t>Patatas chips</t>
  </si>
  <si>
    <t>Coca Cola Zero lata</t>
  </si>
  <si>
    <t>17/10/2019</t>
  </si>
  <si>
    <t>18/10/2019</t>
  </si>
  <si>
    <t>Ventas Totales</t>
  </si>
  <si>
    <t>Unidades</t>
  </si>
  <si>
    <t>Venta Total</t>
  </si>
  <si>
    <t>Porcentaje</t>
  </si>
  <si>
    <t>Venta por Producto</t>
  </si>
  <si>
    <t>Valores</t>
  </si>
  <si>
    <t>2.Topping</t>
  </si>
  <si>
    <t>Granini Piña</t>
  </si>
  <si>
    <t>19/10/2019</t>
  </si>
  <si>
    <t>ADELANTO SUELDO</t>
  </si>
  <si>
    <t>20/10/2019</t>
  </si>
  <si>
    <t>22/10/2019</t>
  </si>
  <si>
    <t>BANCO MANT</t>
  </si>
  <si>
    <t>URRUTIA FACT 9271</t>
  </si>
  <si>
    <t>Crepe de chcolate</t>
  </si>
  <si>
    <t>23/10/2019</t>
  </si>
  <si>
    <t>BANCO MNT.</t>
  </si>
  <si>
    <t>COMPRA MAKRO TARJETA</t>
  </si>
  <si>
    <t>25/10/2019</t>
  </si>
  <si>
    <t>24/10/2019</t>
  </si>
  <si>
    <t>COMPRA DIA</t>
  </si>
  <si>
    <t>Estrella Galicia</t>
  </si>
  <si>
    <t>31/09/2019</t>
  </si>
  <si>
    <t>26/10/2019</t>
  </si>
  <si>
    <t>27/10/2019</t>
  </si>
  <si>
    <t>29/10/2019</t>
  </si>
  <si>
    <t>30/10/2019</t>
  </si>
  <si>
    <t>PAGO FACTURAS TUDIS</t>
  </si>
  <si>
    <t>COMPRA  BAZAR LIU</t>
  </si>
  <si>
    <t>31/10/2019</t>
  </si>
  <si>
    <t>AUTONOMO</t>
  </si>
  <si>
    <t>Saldo en efectivo:</t>
  </si>
  <si>
    <t>Saldo Real:</t>
  </si>
  <si>
    <t>saldo real:</t>
  </si>
  <si>
    <t>1.Topping</t>
  </si>
  <si>
    <t>COMPRAS MAKRO</t>
  </si>
  <si>
    <t>01/11/2019</t>
  </si>
  <si>
    <t>ASESORIA</t>
  </si>
  <si>
    <t>Saldo Apartado:</t>
  </si>
  <si>
    <t>concepto</t>
  </si>
  <si>
    <t>monto</t>
  </si>
  <si>
    <t>02/11/2019</t>
  </si>
  <si>
    <t>03/11/2019</t>
  </si>
  <si>
    <t>Agua Mineral</t>
  </si>
  <si>
    <t>Pintxo</t>
  </si>
  <si>
    <t>Valor x</t>
  </si>
  <si>
    <t>Logaritmica</t>
  </si>
  <si>
    <t>jcc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</si>
</sst>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&quot;€&quot;#,##0.00_);[Red]\(&quot;€&quot;#,##0.00\)"/>
    <numFmt numFmtId="166" formatCode="&quot;€&quot;#,##0.00_);\(&quot;€&quot;#,##0.00\)"/>
    <numFmt numFmtId="167" formatCode="#,##0.00_ ;\-#,##0.00\ "/>
    <numFmt numFmtId="168" formatCode="#,##0.00_ ;[Red]\-#,##0.00\ "/>
    <numFmt numFmtId="169" formatCode="#,##0_ ;\-#,##0\ "/>
    <numFmt numFmtId="170" formatCode="dd/mm/yyyy;@"/>
    <numFmt numFmtId="171" formatCode="#,##0.00;[Red]#,##0.00"/>
    <numFmt numFmtId="172" formatCode="d/mm/yyyy;@"/>
    <numFmt numFmtId="173" formatCode="#,##0.00\ &quot;€&quot;"/>
    <numFmt numFmtId="174" formatCode="#,##0.00\ &quot;€&quot;;[Red]#,##0.00\ &quot;€&quot;"/>
  </numFmts>
  <fonts count="17" x14ac:knownFonts="1">
    <font>
      <sz val="10"/>
      <name val="Arial"/>
      <family val="2"/>
      <charset val="1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  <charset val="1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name val="Arial"/>
      <family val="2"/>
      <charset val="1"/>
    </font>
    <font>
      <sz val="10"/>
      <color theme="1"/>
      <name val="Arial"/>
      <family val="2"/>
    </font>
    <font>
      <sz val="10"/>
      <name val="Arial"/>
    </font>
    <font>
      <b/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222">
    <xf numFmtId="0" fontId="0" fillId="0" borderId="0" xfId="0"/>
    <xf numFmtId="0" fontId="0" fillId="0" borderId="0" xfId="0" applyFont="1"/>
    <xf numFmtId="0" fontId="0" fillId="2" borderId="0" xfId="0" applyFill="1"/>
    <xf numFmtId="0" fontId="2" fillId="0" borderId="0" xfId="0" applyFont="1"/>
    <xf numFmtId="0" fontId="1" fillId="0" borderId="0" xfId="0" applyFont="1"/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Border="1" applyAlignment="1">
      <alignment horizontal="left"/>
    </xf>
    <xf numFmtId="167" fontId="1" fillId="0" borderId="0" xfId="0" applyNumberFormat="1" applyFont="1" applyBorder="1" applyAlignment="1">
      <alignment horizontal="right"/>
    </xf>
    <xf numFmtId="167" fontId="0" fillId="0" borderId="0" xfId="0" applyNumberFormat="1" applyAlignment="1">
      <alignment horizontal="right"/>
    </xf>
    <xf numFmtId="167" fontId="0" fillId="0" borderId="0" xfId="0" applyNumberFormat="1"/>
    <xf numFmtId="0" fontId="0" fillId="0" borderId="0" xfId="0" pivotButton="1"/>
    <xf numFmtId="0" fontId="1" fillId="0" borderId="0" xfId="0" applyFont="1" applyFill="1" applyBorder="1" applyAlignment="1"/>
    <xf numFmtId="166" fontId="2" fillId="0" borderId="0" xfId="0" applyNumberFormat="1" applyFont="1" applyAlignment="1">
      <alignment horizontal="right"/>
    </xf>
    <xf numFmtId="0" fontId="2" fillId="0" borderId="0" xfId="0" applyFont="1" applyBorder="1" applyAlignment="1">
      <alignment horizontal="right"/>
    </xf>
    <xf numFmtId="2" fontId="0" fillId="0" borderId="0" xfId="0" applyNumberFormat="1"/>
    <xf numFmtId="164" fontId="0" fillId="0" borderId="0" xfId="1" applyFont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0" borderId="0" xfId="0" applyFont="1" applyBorder="1"/>
    <xf numFmtId="167" fontId="1" fillId="0" borderId="5" xfId="0" applyNumberFormat="1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7" fillId="0" borderId="0" xfId="0" applyFont="1" applyBorder="1" applyAlignment="1">
      <alignment horizontal="right"/>
    </xf>
    <xf numFmtId="0" fontId="8" fillId="0" borderId="0" xfId="0" applyFont="1" applyBorder="1"/>
    <xf numFmtId="0" fontId="3" fillId="0" borderId="0" xfId="0" applyFont="1"/>
    <xf numFmtId="0" fontId="5" fillId="0" borderId="0" xfId="0" applyFont="1"/>
    <xf numFmtId="0" fontId="2" fillId="0" borderId="7" xfId="0" applyFont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7" fontId="1" fillId="0" borderId="2" xfId="0" applyNumberFormat="1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2" fillId="0" borderId="0" xfId="0" applyFont="1" applyBorder="1" applyAlignment="1"/>
    <xf numFmtId="167" fontId="8" fillId="0" borderId="0" xfId="0" applyNumberFormat="1" applyFont="1" applyBorder="1" applyAlignment="1">
      <alignment horizontal="right"/>
    </xf>
    <xf numFmtId="10" fontId="0" fillId="0" borderId="0" xfId="0" applyNumberFormat="1"/>
    <xf numFmtId="49" fontId="2" fillId="0" borderId="0" xfId="0" applyNumberFormat="1" applyFont="1" applyBorder="1"/>
    <xf numFmtId="167" fontId="2" fillId="0" borderId="0" xfId="0" applyNumberFormat="1" applyFont="1" applyBorder="1"/>
    <xf numFmtId="167" fontId="2" fillId="0" borderId="0" xfId="0" applyNumberFormat="1" applyFont="1" applyBorder="1" applyAlignment="1">
      <alignment horizontal="right"/>
    </xf>
    <xf numFmtId="169" fontId="2" fillId="0" borderId="0" xfId="0" applyNumberFormat="1" applyFont="1" applyBorder="1" applyAlignment="1">
      <alignment horizontal="left"/>
    </xf>
    <xf numFmtId="167" fontId="0" fillId="0" borderId="0" xfId="0" applyNumberFormat="1" applyFont="1" applyBorder="1"/>
    <xf numFmtId="0" fontId="0" fillId="0" borderId="0" xfId="0" applyFont="1" applyBorder="1"/>
    <xf numFmtId="169" fontId="0" fillId="0" borderId="0" xfId="0" applyNumberFormat="1" applyFont="1" applyBorder="1"/>
    <xf numFmtId="49" fontId="7" fillId="0" borderId="0" xfId="0" applyNumberFormat="1" applyFont="1" applyBorder="1"/>
    <xf numFmtId="169" fontId="7" fillId="0" borderId="0" xfId="0" applyNumberFormat="1" applyFont="1" applyBorder="1" applyAlignment="1">
      <alignment horizontal="left"/>
    </xf>
    <xf numFmtId="14" fontId="0" fillId="0" borderId="0" xfId="0" applyNumberFormat="1" applyFont="1" applyBorder="1"/>
    <xf numFmtId="49" fontId="0" fillId="0" borderId="0" xfId="0" applyNumberFormat="1" applyFont="1" applyBorder="1"/>
    <xf numFmtId="169" fontId="0" fillId="0" borderId="0" xfId="0" applyNumberFormat="1" applyFont="1" applyBorder="1" applyAlignment="1">
      <alignment horizontal="left"/>
    </xf>
    <xf numFmtId="166" fontId="2" fillId="0" borderId="0" xfId="0" applyNumberFormat="1" applyFont="1" applyBorder="1" applyAlignment="1">
      <alignment horizontal="right"/>
    </xf>
    <xf numFmtId="0" fontId="2" fillId="0" borderId="0" xfId="0" applyFont="1" applyBorder="1"/>
    <xf numFmtId="167" fontId="2" fillId="5" borderId="1" xfId="0" applyNumberFormat="1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167" fontId="1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0" fillId="0" borderId="0" xfId="0" applyFont="1" applyFill="1" applyBorder="1" applyAlignment="1"/>
    <xf numFmtId="166" fontId="2" fillId="0" borderId="0" xfId="0" applyNumberFormat="1" applyFont="1" applyBorder="1"/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1" fillId="0" borderId="0" xfId="0" applyFont="1" applyFill="1" applyBorder="1"/>
    <xf numFmtId="14" fontId="1" fillId="0" borderId="0" xfId="0" applyNumberFormat="1" applyFont="1" applyBorder="1"/>
    <xf numFmtId="0" fontId="0" fillId="0" borderId="0" xfId="0" applyFont="1" applyBorder="1" applyAlignment="1"/>
    <xf numFmtId="167" fontId="1" fillId="0" borderId="0" xfId="0" applyNumberFormat="1" applyFont="1" applyBorder="1"/>
    <xf numFmtId="169" fontId="1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right"/>
    </xf>
    <xf numFmtId="167" fontId="0" fillId="6" borderId="0" xfId="0" applyNumberFormat="1" applyFill="1" applyAlignment="1">
      <alignment horizontal="right"/>
    </xf>
    <xf numFmtId="0" fontId="2" fillId="6" borderId="0" xfId="0" applyFont="1" applyFill="1" applyAlignment="1">
      <alignment horizontal="right"/>
    </xf>
    <xf numFmtId="0" fontId="0" fillId="6" borderId="0" xfId="0" applyFill="1"/>
    <xf numFmtId="167" fontId="0" fillId="6" borderId="0" xfId="0" applyNumberFormat="1" applyFill="1"/>
    <xf numFmtId="167" fontId="1" fillId="0" borderId="0" xfId="0" applyNumberFormat="1" applyFont="1"/>
    <xf numFmtId="167" fontId="0" fillId="0" borderId="0" xfId="0" applyNumberFormat="1" applyFont="1" applyAlignment="1">
      <alignment horizontal="right"/>
    </xf>
    <xf numFmtId="167" fontId="0" fillId="0" borderId="0" xfId="0" applyNumberFormat="1" applyFont="1"/>
    <xf numFmtId="0" fontId="13" fillId="0" borderId="0" xfId="0" applyFont="1" applyAlignment="1">
      <alignment horizontal="left"/>
    </xf>
    <xf numFmtId="167" fontId="2" fillId="0" borderId="0" xfId="0" applyNumberFormat="1" applyFont="1" applyAlignment="1">
      <alignment horizontal="left"/>
    </xf>
    <xf numFmtId="0" fontId="1" fillId="6" borderId="0" xfId="0" applyFont="1" applyFill="1" applyBorder="1" applyAlignment="1">
      <alignment horizontal="left"/>
    </xf>
    <xf numFmtId="0" fontId="2" fillId="6" borderId="0" xfId="0" applyFont="1" applyFill="1" applyBorder="1" applyAlignment="1">
      <alignment horizontal="right"/>
    </xf>
    <xf numFmtId="0" fontId="0" fillId="6" borderId="0" xfId="0" applyFont="1" applyFill="1" applyBorder="1"/>
    <xf numFmtId="167" fontId="0" fillId="6" borderId="0" xfId="0" applyNumberFormat="1" applyFont="1" applyFill="1" applyBorder="1"/>
    <xf numFmtId="0" fontId="2" fillId="0" borderId="0" xfId="0" applyFont="1" applyBorder="1" applyAlignment="1">
      <alignment horizontal="left"/>
    </xf>
    <xf numFmtId="0" fontId="0" fillId="6" borderId="0" xfId="0" applyFill="1" applyAlignment="1">
      <alignment horizontal="left"/>
    </xf>
    <xf numFmtId="0" fontId="2" fillId="6" borderId="0" xfId="0" applyFont="1" applyFill="1"/>
    <xf numFmtId="0" fontId="13" fillId="0" borderId="0" xfId="0" applyFont="1"/>
    <xf numFmtId="0" fontId="2" fillId="0" borderId="0" xfId="0" applyFont="1" applyAlignment="1">
      <alignment horizontal="left"/>
    </xf>
    <xf numFmtId="0" fontId="0" fillId="6" borderId="0" xfId="0" applyFont="1" applyFill="1" applyBorder="1" applyAlignment="1"/>
    <xf numFmtId="0" fontId="2" fillId="6" borderId="0" xfId="0" applyFont="1" applyFill="1" applyBorder="1" applyAlignment="1">
      <alignment horizontal="center"/>
    </xf>
    <xf numFmtId="167" fontId="2" fillId="6" borderId="0" xfId="0" applyNumberFormat="1" applyFont="1" applyFill="1" applyBorder="1"/>
    <xf numFmtId="0" fontId="13" fillId="0" borderId="0" xfId="0" applyFont="1" applyBorder="1" applyAlignment="1">
      <alignment horizontal="right"/>
    </xf>
    <xf numFmtId="0" fontId="13" fillId="0" borderId="0" xfId="0" applyFont="1" applyBorder="1" applyAlignment="1">
      <alignment horizontal="left"/>
    </xf>
    <xf numFmtId="167" fontId="13" fillId="2" borderId="0" xfId="0" applyNumberFormat="1" applyFont="1" applyFill="1"/>
    <xf numFmtId="0" fontId="13" fillId="2" borderId="0" xfId="0" applyFont="1" applyFill="1"/>
    <xf numFmtId="166" fontId="2" fillId="0" borderId="0" xfId="0" applyNumberFormat="1" applyFont="1"/>
    <xf numFmtId="4" fontId="8" fillId="0" borderId="0" xfId="1" applyNumberFormat="1" applyFont="1" applyBorder="1" applyAlignment="1">
      <alignment horizontal="right"/>
    </xf>
    <xf numFmtId="4" fontId="1" fillId="0" borderId="0" xfId="1" applyNumberFormat="1" applyFont="1" applyBorder="1" applyAlignment="1">
      <alignment horizontal="right"/>
    </xf>
    <xf numFmtId="4" fontId="1" fillId="6" borderId="0" xfId="1" applyNumberFormat="1" applyFont="1" applyFill="1" applyBorder="1" applyAlignment="1">
      <alignment horizontal="right"/>
    </xf>
    <xf numFmtId="4" fontId="1" fillId="0" borderId="8" xfId="1" applyNumberFormat="1" applyFont="1" applyBorder="1" applyAlignment="1">
      <alignment horizontal="left"/>
    </xf>
    <xf numFmtId="4" fontId="0" fillId="0" borderId="0" xfId="1" applyNumberFormat="1" applyFont="1" applyBorder="1" applyAlignment="1">
      <alignment horizontal="right"/>
    </xf>
    <xf numFmtId="4" fontId="2" fillId="0" borderId="0" xfId="1" applyNumberFormat="1" applyFont="1" applyBorder="1" applyAlignment="1">
      <alignment horizontal="right"/>
    </xf>
    <xf numFmtId="4" fontId="0" fillId="0" borderId="0" xfId="0" applyNumberFormat="1" applyFont="1" applyBorder="1" applyAlignment="1">
      <alignment horizontal="right"/>
    </xf>
    <xf numFmtId="4" fontId="0" fillId="6" borderId="0" xfId="0" applyNumberFormat="1" applyFont="1" applyFill="1" applyBorder="1" applyAlignment="1">
      <alignment horizontal="right"/>
    </xf>
    <xf numFmtId="4" fontId="1" fillId="0" borderId="8" xfId="0" applyNumberFormat="1" applyFont="1" applyBorder="1" applyAlignment="1">
      <alignment horizontal="left"/>
    </xf>
    <xf numFmtId="4" fontId="1" fillId="0" borderId="0" xfId="0" applyNumberFormat="1" applyFont="1" applyBorder="1" applyAlignment="1">
      <alignment horizontal="right"/>
    </xf>
    <xf numFmtId="4" fontId="1" fillId="0" borderId="0" xfId="0" applyNumberFormat="1" applyFont="1" applyBorder="1"/>
    <xf numFmtId="4" fontId="0" fillId="0" borderId="0" xfId="0" applyNumberFormat="1" applyFont="1" applyFill="1" applyBorder="1" applyAlignment="1">
      <alignment horizontal="right"/>
    </xf>
    <xf numFmtId="0" fontId="14" fillId="0" borderId="0" xfId="0" applyFont="1"/>
    <xf numFmtId="0" fontId="0" fillId="0" borderId="0" xfId="0" applyNumberFormat="1" applyFont="1" applyBorder="1"/>
    <xf numFmtId="0" fontId="2" fillId="0" borderId="0" xfId="0" applyNumberFormat="1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170" fontId="7" fillId="0" borderId="0" xfId="0" applyNumberFormat="1" applyFont="1" applyBorder="1" applyAlignment="1">
      <alignment horizontal="left"/>
    </xf>
    <xf numFmtId="17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/>
    <xf numFmtId="4" fontId="0" fillId="0" borderId="0" xfId="0" applyNumberFormat="1" applyFont="1" applyBorder="1"/>
    <xf numFmtId="4" fontId="2" fillId="0" borderId="0" xfId="0" applyNumberFormat="1" applyFont="1" applyBorder="1" applyAlignment="1">
      <alignment horizontal="right"/>
    </xf>
    <xf numFmtId="4" fontId="7" fillId="0" borderId="0" xfId="0" applyNumberFormat="1" applyFont="1" applyBorder="1" applyAlignment="1">
      <alignment horizontal="right"/>
    </xf>
    <xf numFmtId="4" fontId="7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49" fontId="16" fillId="0" borderId="0" xfId="0" applyNumberFormat="1" applyFont="1" applyBorder="1"/>
    <xf numFmtId="4" fontId="16" fillId="0" borderId="0" xfId="0" applyNumberFormat="1" applyFont="1" applyBorder="1" applyAlignment="1">
      <alignment horizontal="right"/>
    </xf>
    <xf numFmtId="0" fontId="16" fillId="0" borderId="0" xfId="0" applyNumberFormat="1" applyFont="1" applyBorder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 applyAlignment="1"/>
    <xf numFmtId="4" fontId="0" fillId="0" borderId="0" xfId="0" quotePrefix="1" applyNumberFormat="1" applyAlignment="1"/>
    <xf numFmtId="3" fontId="0" fillId="0" borderId="0" xfId="0" applyNumberFormat="1"/>
    <xf numFmtId="4" fontId="0" fillId="0" borderId="0" xfId="0" applyNumberFormat="1"/>
    <xf numFmtId="4" fontId="0" fillId="0" borderId="0" xfId="0" applyNumberFormat="1" applyAlignment="1"/>
    <xf numFmtId="170" fontId="16" fillId="0" borderId="0" xfId="0" applyNumberFormat="1" applyFont="1" applyBorder="1" applyAlignment="1">
      <alignment horizontal="left"/>
    </xf>
    <xf numFmtId="170" fontId="0" fillId="0" borderId="0" xfId="0" applyNumberFormat="1" applyFont="1" applyBorder="1" applyAlignment="1">
      <alignment horizontal="left"/>
    </xf>
    <xf numFmtId="0" fontId="16" fillId="0" borderId="0" xfId="0" applyNumberFormat="1" applyFont="1" applyBorder="1" applyAlignment="1">
      <alignment horizontal="right"/>
    </xf>
    <xf numFmtId="2" fontId="2" fillId="0" borderId="0" xfId="0" applyNumberFormat="1" applyFont="1" applyBorder="1"/>
    <xf numFmtId="2" fontId="16" fillId="0" borderId="0" xfId="0" applyNumberFormat="1" applyFont="1" applyBorder="1" applyAlignment="1">
      <alignment horizontal="right"/>
    </xf>
    <xf numFmtId="2" fontId="16" fillId="0" borderId="0" xfId="0" applyNumberFormat="1" applyFont="1" applyBorder="1"/>
    <xf numFmtId="2" fontId="7" fillId="0" borderId="0" xfId="0" applyNumberFormat="1" applyFont="1" applyBorder="1"/>
    <xf numFmtId="2" fontId="0" fillId="0" borderId="0" xfId="0" applyNumberFormat="1" applyFont="1" applyBorder="1"/>
    <xf numFmtId="0" fontId="15" fillId="0" borderId="0" xfId="0" applyFont="1" applyBorder="1" applyAlignment="1">
      <alignment horizontal="left"/>
    </xf>
    <xf numFmtId="167" fontId="15" fillId="0" borderId="0" xfId="0" applyNumberFormat="1" applyFont="1" applyBorder="1" applyAlignment="1">
      <alignment horizontal="right"/>
    </xf>
    <xf numFmtId="0" fontId="16" fillId="0" borderId="0" xfId="0" applyFont="1" applyBorder="1" applyAlignment="1">
      <alignment horizontal="left"/>
    </xf>
    <xf numFmtId="167" fontId="0" fillId="0" borderId="0" xfId="0" applyNumberFormat="1" applyFont="1" applyBorder="1" applyAlignment="1">
      <alignment horizontal="right"/>
    </xf>
    <xf numFmtId="4" fontId="15" fillId="0" borderId="0" xfId="1" applyNumberFormat="1" applyFont="1" applyBorder="1" applyAlignment="1">
      <alignment horizontal="right"/>
    </xf>
    <xf numFmtId="0" fontId="1" fillId="0" borderId="0" xfId="0" applyNumberFormat="1" applyFont="1" applyBorder="1"/>
    <xf numFmtId="0" fontId="2" fillId="6" borderId="0" xfId="0" applyNumberFormat="1" applyFont="1" applyFill="1" applyBorder="1" applyAlignment="1">
      <alignment horizontal="right"/>
    </xf>
    <xf numFmtId="0" fontId="2" fillId="0" borderId="0" xfId="0" applyNumberFormat="1" applyFont="1" applyBorder="1" applyAlignment="1">
      <alignment horizontal="right"/>
    </xf>
    <xf numFmtId="0" fontId="2" fillId="0" borderId="6" xfId="0" applyNumberFormat="1" applyFont="1" applyBorder="1" applyAlignment="1">
      <alignment horizontal="left"/>
    </xf>
    <xf numFmtId="0" fontId="7" fillId="0" borderId="0" xfId="0" applyNumberFormat="1" applyFont="1" applyBorder="1" applyAlignment="1">
      <alignment horizontal="right"/>
    </xf>
    <xf numFmtId="0" fontId="9" fillId="0" borderId="0" xfId="0" applyNumberFormat="1" applyFont="1" applyBorder="1" applyAlignment="1">
      <alignment horizontal="right"/>
    </xf>
    <xf numFmtId="0" fontId="2" fillId="0" borderId="0" xfId="0" applyNumberFormat="1" applyFont="1" applyBorder="1"/>
    <xf numFmtId="0" fontId="13" fillId="0" borderId="0" xfId="0" applyNumberFormat="1" applyFont="1" applyBorder="1" applyAlignment="1">
      <alignment horizontal="left"/>
    </xf>
    <xf numFmtId="170" fontId="0" fillId="6" borderId="0" xfId="0" applyNumberFormat="1" applyFont="1" applyFill="1" applyBorder="1" applyAlignment="1">
      <alignment horizontal="right"/>
    </xf>
    <xf numFmtId="170" fontId="1" fillId="0" borderId="6" xfId="0" applyNumberFormat="1" applyFont="1" applyBorder="1" applyAlignment="1">
      <alignment horizontal="left"/>
    </xf>
    <xf numFmtId="170" fontId="1" fillId="0" borderId="0" xfId="0" applyNumberFormat="1" applyFont="1" applyFill="1" applyBorder="1" applyAlignment="1">
      <alignment horizontal="right"/>
    </xf>
    <xf numFmtId="170" fontId="1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/>
    </xf>
    <xf numFmtId="170" fontId="1" fillId="0" borderId="0" xfId="0" applyNumberFormat="1" applyFont="1" applyBorder="1"/>
    <xf numFmtId="170" fontId="0" fillId="0" borderId="0" xfId="0" applyNumberFormat="1" applyFont="1" applyFill="1" applyBorder="1" applyAlignment="1">
      <alignment horizontal="right"/>
    </xf>
    <xf numFmtId="170" fontId="15" fillId="0" borderId="0" xfId="0" applyNumberFormat="1" applyFont="1" applyBorder="1" applyAlignment="1">
      <alignment horizontal="right"/>
    </xf>
    <xf numFmtId="170" fontId="8" fillId="0" borderId="0" xfId="0" applyNumberFormat="1" applyFont="1" applyBorder="1" applyAlignment="1">
      <alignment horizontal="right"/>
    </xf>
    <xf numFmtId="170" fontId="2" fillId="0" borderId="0" xfId="0" applyNumberFormat="1" applyFont="1" applyAlignment="1">
      <alignment horizontal="left"/>
    </xf>
    <xf numFmtId="170" fontId="0" fillId="6" borderId="0" xfId="0" applyNumberFormat="1" applyFill="1" applyAlignment="1">
      <alignment horizontal="right"/>
    </xf>
    <xf numFmtId="170" fontId="1" fillId="0" borderId="3" xfId="0" applyNumberFormat="1" applyFont="1" applyBorder="1" applyAlignment="1">
      <alignment horizontal="left"/>
    </xf>
    <xf numFmtId="170" fontId="0" fillId="0" borderId="0" xfId="0" applyNumberFormat="1" applyAlignment="1">
      <alignment horizontal="right"/>
    </xf>
    <xf numFmtId="0" fontId="13" fillId="0" borderId="0" xfId="0" applyNumberFormat="1" applyFont="1" applyAlignment="1">
      <alignment horizontal="left"/>
    </xf>
    <xf numFmtId="0" fontId="2" fillId="6" borderId="0" xfId="0" applyNumberFormat="1" applyFont="1" applyFill="1" applyAlignment="1"/>
    <xf numFmtId="0" fontId="2" fillId="0" borderId="0" xfId="0" applyNumberFormat="1" applyFont="1" applyAlignment="1"/>
    <xf numFmtId="0" fontId="2" fillId="0" borderId="0" xfId="0" applyNumberFormat="1" applyFont="1" applyBorder="1" applyAlignment="1"/>
    <xf numFmtId="0" fontId="16" fillId="0" borderId="0" xfId="0" applyNumberFormat="1" applyFont="1" applyBorder="1" applyAlignment="1"/>
    <xf numFmtId="0" fontId="7" fillId="0" borderId="0" xfId="0" applyNumberFormat="1" applyFont="1" applyBorder="1" applyAlignment="1"/>
    <xf numFmtId="4" fontId="16" fillId="0" borderId="0" xfId="0" applyNumberFormat="1" applyFont="1" applyBorder="1"/>
    <xf numFmtId="167" fontId="16" fillId="0" borderId="0" xfId="0" applyNumberFormat="1" applyFont="1" applyBorder="1"/>
    <xf numFmtId="0" fontId="0" fillId="0" borderId="0" xfId="0" applyFill="1"/>
    <xf numFmtId="2" fontId="0" fillId="0" borderId="0" xfId="0" applyNumberFormat="1" applyFill="1"/>
    <xf numFmtId="0" fontId="0" fillId="0" borderId="0" xfId="0" applyFill="1" applyAlignment="1">
      <alignment horizontal="left"/>
    </xf>
    <xf numFmtId="164" fontId="0" fillId="0" borderId="0" xfId="1" applyFont="1" applyFill="1"/>
    <xf numFmtId="0" fontId="0" fillId="0" borderId="8" xfId="0" applyBorder="1"/>
    <xf numFmtId="0" fontId="0" fillId="0" borderId="0" xfId="0" applyAlignment="1">
      <alignment horizontal="right"/>
    </xf>
    <xf numFmtId="0" fontId="0" fillId="0" borderId="0" xfId="0" applyNumberFormat="1" applyFont="1" applyAlignment="1">
      <alignment horizontal="right"/>
    </xf>
    <xf numFmtId="0" fontId="1" fillId="6" borderId="0" xfId="0" applyNumberFormat="1" applyFont="1" applyFill="1" applyAlignment="1">
      <alignment horizontal="right"/>
    </xf>
    <xf numFmtId="0" fontId="15" fillId="0" borderId="0" xfId="0" applyNumberFormat="1" applyFont="1" applyBorder="1" applyAlignment="1">
      <alignment horizontal="right"/>
    </xf>
    <xf numFmtId="0" fontId="8" fillId="0" borderId="0" xfId="0" applyNumberFormat="1" applyFont="1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0" fontId="1" fillId="0" borderId="0" xfId="0" applyNumberFormat="1" applyFont="1" applyAlignment="1">
      <alignment horizontal="right"/>
    </xf>
    <xf numFmtId="0" fontId="1" fillId="6" borderId="0" xfId="0" applyNumberFormat="1" applyFont="1" applyFill="1" applyBorder="1" applyAlignment="1">
      <alignment horizontal="right"/>
    </xf>
    <xf numFmtId="14" fontId="8" fillId="0" borderId="0" xfId="0" applyNumberFormat="1" applyFont="1" applyBorder="1" applyAlignment="1">
      <alignment horizontal="right"/>
    </xf>
    <xf numFmtId="4" fontId="0" fillId="0" borderId="0" xfId="0" applyNumberFormat="1" applyAlignment="1">
      <alignment horizontal="right"/>
    </xf>
    <xf numFmtId="172" fontId="1" fillId="0" borderId="6" xfId="0" applyNumberFormat="1" applyFont="1" applyBorder="1" applyAlignment="1">
      <alignment horizontal="right"/>
    </xf>
    <xf numFmtId="172" fontId="1" fillId="0" borderId="0" xfId="0" applyNumberFormat="1" applyFont="1" applyBorder="1" applyAlignment="1">
      <alignment horizontal="right"/>
    </xf>
    <xf numFmtId="172" fontId="1" fillId="0" borderId="0" xfId="0" applyNumberFormat="1" applyFont="1" applyAlignment="1">
      <alignment horizontal="right"/>
    </xf>
    <xf numFmtId="0" fontId="0" fillId="0" borderId="0" xfId="0" applyBorder="1" applyAlignment="1">
      <alignment horizontal="right"/>
    </xf>
    <xf numFmtId="0" fontId="0" fillId="7" borderId="0" xfId="0" applyFill="1"/>
    <xf numFmtId="168" fontId="0" fillId="7" borderId="0" xfId="0" applyNumberFormat="1" applyFill="1"/>
    <xf numFmtId="0" fontId="2" fillId="7" borderId="0" xfId="0" applyFont="1" applyFill="1"/>
    <xf numFmtId="4" fontId="2" fillId="0" borderId="0" xfId="0" applyNumberFormat="1" applyFont="1"/>
    <xf numFmtId="0" fontId="0" fillId="0" borderId="0" xfId="0" applyNumberFormat="1"/>
    <xf numFmtId="0" fontId="2" fillId="0" borderId="0" xfId="0" applyNumberFormat="1" applyFont="1"/>
    <xf numFmtId="170" fontId="0" fillId="0" borderId="0" xfId="0" applyNumberFormat="1" applyAlignment="1">
      <alignment horizontal="left"/>
    </xf>
    <xf numFmtId="4" fontId="0" fillId="0" borderId="0" xfId="0" applyNumberFormat="1" applyFill="1"/>
    <xf numFmtId="3" fontId="3" fillId="2" borderId="11" xfId="0" applyNumberFormat="1" applyFont="1" applyFill="1" applyBorder="1" applyAlignment="1">
      <alignment horizontal="center"/>
    </xf>
    <xf numFmtId="168" fontId="0" fillId="0" borderId="0" xfId="0" applyNumberForma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165" fontId="0" fillId="0" borderId="0" xfId="0" applyNumberFormat="1" applyFill="1"/>
    <xf numFmtId="3" fontId="3" fillId="6" borderId="9" xfId="0" applyNumberFormat="1" applyFont="1" applyFill="1" applyBorder="1" applyAlignment="1">
      <alignment horizontal="center"/>
    </xf>
    <xf numFmtId="4" fontId="3" fillId="6" borderId="10" xfId="0" applyNumberFormat="1" applyFont="1" applyFill="1" applyBorder="1" applyAlignment="1">
      <alignment horizontal="center"/>
    </xf>
    <xf numFmtId="171" fontId="3" fillId="6" borderId="12" xfId="0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168" fontId="3" fillId="6" borderId="3" xfId="0" applyNumberFormat="1" applyFont="1" applyFill="1" applyBorder="1" applyAlignment="1">
      <alignment horizontal="center"/>
    </xf>
    <xf numFmtId="0" fontId="0" fillId="7" borderId="0" xfId="0" applyFill="1" applyBorder="1"/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173" fontId="0" fillId="0" borderId="0" xfId="0" applyNumberFormat="1" applyFill="1"/>
    <xf numFmtId="174" fontId="0" fillId="7" borderId="0" xfId="0" applyNumberFormat="1" applyFill="1"/>
    <xf numFmtId="0" fontId="3" fillId="3" borderId="0" xfId="0" applyFont="1" applyFill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139">
    <dxf>
      <numFmt numFmtId="4" formatCode="#,##0.0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dd/mm/yyyy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4" formatCode="#,##0.00"/>
    </dxf>
    <dxf>
      <numFmt numFmtId="170" formatCode="dd/mm/yyyy;@"/>
      <alignment horizontal="left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left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#,##0.00_ ;\-#,##0.00\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dd/mm/yyyy;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4" formatCode="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0" tint="-0.3499862666707357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dd/mm/yy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#,##0.00_ ;\-#,##0.00\ 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right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0" relativeIndent="0" justifyLastLine="0" shrinkToFit="0" readingOrder="0"/>
    </dxf>
    <dxf>
      <numFmt numFmtId="170" formatCode="dd/mm/yyyy;@"/>
      <fill>
        <patternFill patternType="none">
          <fgColor rgb="FF000000"/>
          <bgColor rgb="FFFFFFFF"/>
        </patternFill>
      </fill>
      <alignment horizontal="right" vertical="bottom" textRotation="0" wrapText="0" relativeIndent="0" justifyLastLine="0" shrinkToFit="0" readingOrder="0"/>
    </dxf>
    <dxf>
      <numFmt numFmtId="4" formatCode="#,##0.00"/>
      <alignment horizontal="right" vertical="bottom" textRotation="0" wrapText="0" relativeIndent="0" justifyLastLine="0" shrinkToFit="0" readingOrder="0"/>
    </dxf>
    <dxf>
      <fill>
        <patternFill patternType="none">
          <fgColor rgb="FF000000"/>
          <bgColor rgb="FFFFFFFF"/>
        </patternFill>
      </fill>
      <alignment horizontal="general" vertical="bottom" textRotation="0" wrapText="0" relativeIndent="0" justifyLastLine="0" shrinkToFit="0" readingOrder="0"/>
    </dxf>
    <dxf>
      <border outline="0">
        <top style="medium">
          <color rgb="FF000000"/>
        </top>
      </border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right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dd/mm/yyyy;@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relativeIndent="0" justifyLastLine="0" shrinkToFit="0" readingOrder="0"/>
    </dxf>
    <dxf>
      <border outline="0">
        <top style="medium">
          <color rgb="FF000000"/>
        </top>
      </border>
    </dxf>
    <dxf>
      <border outline="0">
        <bottom style="medium">
          <color rgb="FF000000"/>
        </bottom>
      </border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right" vertical="bottom" textRotation="0" wrapText="0" relativeIndent="0" justifyLastLine="0" shrinkToFit="0" readingOrder="0"/>
    </dxf>
    <dxf>
      <numFmt numFmtId="167" formatCode="#,##0.00_ ;\-#,##0.00\ "/>
      <alignment horizontal="right" vertical="bottom" textRotation="0" wrapText="0" relative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numFmt numFmtId="170" formatCode="dd/mm/yyyy;@"/>
    </dxf>
    <dxf>
      <numFmt numFmtId="167" formatCode="#,##0.00_ ;\-#,##0.00\ 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B8CCE4"/>
          <bgColor rgb="FFB8CCE4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BE5F1"/>
          <bgColor rgb="FFDBE5F1"/>
        </patternFill>
      </fill>
      <border>
        <vertical style="thin">
          <color rgb="FFFFFFFF"/>
        </vertical>
        <horizontal style="thin">
          <color rgb="FFFFFFFF"/>
        </horizontal>
      </border>
    </dxf>
  </dxfs>
  <tableStyles count="11" defaultTableStyle="TableStyleMedium9" defaultPivotStyle="PivotStyleLight16">
    <tableStyle name="TableStyleMedium9 10" pivot="0" count="7" xr9:uid="{00000000-0011-0000-FFFF-FFFF00000000}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firstColumnStripe" dxfId="132"/>
    </tableStyle>
    <tableStyle name="TableStyleMedium9 11" pivot="0" count="7" xr9:uid="{00000000-0011-0000-FFFF-FFFF01000000}">
      <tableStyleElement type="wholeTable" dxfId="131"/>
      <tableStyleElement type="headerRow" dxfId="130"/>
      <tableStyleElement type="totalRow" dxfId="129"/>
      <tableStyleElement type="firstColumn" dxfId="128"/>
      <tableStyleElement type="lastColumn" dxfId="127"/>
      <tableStyleElement type="firstRowStripe" dxfId="126"/>
      <tableStyleElement type="firstColumnStripe" dxfId="125"/>
    </tableStyle>
    <tableStyle name="TableStyleMedium9 2" pivot="0" count="7" xr9:uid="{00000000-0011-0000-FFFF-FFFF02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TableStyleMedium9 3" pivot="0" count="7" xr9:uid="{00000000-0011-0000-FFFF-FFFF03000000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firstRowStripe" dxfId="112"/>
      <tableStyleElement type="firstColumnStripe" dxfId="111"/>
    </tableStyle>
    <tableStyle name="TableStyleMedium9 4" pivot="0" count="7" xr9:uid="{00000000-0011-0000-FFFF-FFFF04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TableStyleMedium9 5" pivot="0" count="7" xr9:uid="{00000000-0011-0000-FFFF-FFFF05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TableStyleMedium9 6" pivot="0" count="7" xr9:uid="{00000000-0011-0000-FFFF-FFFF06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TableStyleMedium9 7" pivot="0" count="7" xr9:uid="{00000000-0011-0000-FFFF-FFFF07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RowStripe" dxfId="84"/>
      <tableStyleElement type="firstColumnStripe" dxfId="83"/>
    </tableStyle>
    <tableStyle name="TableStyleMedium9 8" pivot="0" count="7" xr9:uid="{00000000-0011-0000-FFFF-FFFF08000000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RowStripe" dxfId="77"/>
      <tableStyleElement type="firstColumnStripe" dxfId="76"/>
    </tableStyle>
    <tableStyle name="TableStyleMedium9 9" pivot="0" count="7" xr9:uid="{00000000-0011-0000-FFFF-FFFF09000000}">
      <tableStyleElement type="wholeTable" dxfId="75"/>
      <tableStyleElement type="headerRow" dxfId="74"/>
      <tableStyleElement type="totalRow" dxfId="73"/>
      <tableStyleElement type="firstColumn" dxfId="72"/>
      <tableStyleElement type="lastColumn" dxfId="71"/>
      <tableStyleElement type="firstRowStripe" dxfId="70"/>
      <tableStyleElement type="firstColumnStripe" dxfId="69"/>
    </tableStyle>
    <tableStyle name="TableStyleQueryResult" pivot="0" count="3" xr9:uid="{00000000-0011-0000-FFFF-FFFF0A000000}">
      <tableStyleElement type="wholeTable" dxfId="68"/>
      <tableStyleElement type="headerRow" dxfId="67"/>
      <tableStyleElement type="firstRowStripe" dxfId="66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6600"/>
      <rgbColor rgb="FF666666"/>
      <rgbColor rgb="FFB2B2B2"/>
      <rgbColor rgb="FF004586"/>
      <rgbColor rgb="FF579D1C"/>
      <rgbColor rgb="FF003300"/>
      <rgbColor rgb="FF333300"/>
      <rgbColor rgb="FF8D28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gastos.xlsm]Ventas Diarias!Tabla dinámica5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"/>
              <a:t>Ventas Diarias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  <a:sp3d/>
      </c:spPr>
    </c:floor>
    <c:sideWall>
      <c:thickness val="0"/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  <a:sp3d/>
      </c:spPr>
    </c:sideWall>
    <c:backWall>
      <c:thickness val="0"/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3851541344650287E-2"/>
          <c:y val="0.10155075939248599"/>
          <c:w val="0.86359860895855656"/>
          <c:h val="0.70759241425757036"/>
        </c:manualLayout>
      </c:layout>
      <c:area3DChart>
        <c:grouping val="standard"/>
        <c:varyColors val="0"/>
        <c:ser>
          <c:idx val="0"/>
          <c:order val="0"/>
          <c:tx>
            <c:strRef>
              <c:f>'Ventas Diarias'!$B$3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'Ventas Diarias'!$A$4:$A$6</c:f>
              <c:strCache>
                <c:ptCount val="2"/>
                <c:pt idx="0">
                  <c:v>01/11/2019</c:v>
                </c:pt>
                <c:pt idx="1">
                  <c:v>02/11/2019</c:v>
                </c:pt>
              </c:strCache>
            </c:strRef>
          </c:cat>
          <c:val>
            <c:numRef>
              <c:f>'Ventas Diarias'!$B$4:$B$6</c:f>
              <c:numCache>
                <c:formatCode>#,##0.00_ ;\-#,##0.00\ </c:formatCode>
                <c:ptCount val="2"/>
                <c:pt idx="0">
                  <c:v>145.1</c:v>
                </c:pt>
                <c:pt idx="1">
                  <c:v>204.4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4-498D-BA1C-5144CBEAF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91184"/>
        <c:axId val="242391576"/>
        <c:axId val="241489072"/>
      </c:area3DChart>
      <c:catAx>
        <c:axId val="24239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391576"/>
        <c:crosses val="autoZero"/>
        <c:auto val="1"/>
        <c:lblAlgn val="ctr"/>
        <c:lblOffset val="100"/>
        <c:noMultiLvlLbl val="0"/>
      </c:catAx>
      <c:valAx>
        <c:axId val="24239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391184"/>
        <c:crosses val="autoZero"/>
        <c:crossBetween val="midCat"/>
      </c:valAx>
      <c:serAx>
        <c:axId val="24148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391576"/>
        <c:crosses val="autoZero"/>
      </c:serAx>
      <c:spPr>
        <a:solidFill>
          <a:schemeClr val="l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  <a:softEdge rad="1270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numRef>
              <c:f>Proveedores!$G$58:$G$63</c:f>
              <c:numCache>
                <c:formatCode>General</c:formatCode>
                <c:ptCount val="6"/>
              </c:numCache>
            </c:numRef>
          </c:cat>
          <c:val>
            <c:numRef>
              <c:f>Proveedores!$H$58:$H$63</c:f>
              <c:numCache>
                <c:formatCode>#.##000_ ;\-#.##000\ 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255-420B-B2B4-00E1D1DD6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392752"/>
        <c:axId val="242393144"/>
      </c:barChart>
      <c:catAx>
        <c:axId val="242392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242393144"/>
        <c:crosses val="autoZero"/>
        <c:auto val="1"/>
        <c:lblAlgn val="ctr"/>
        <c:lblOffset val="100"/>
        <c:noMultiLvlLbl val="0"/>
      </c:catAx>
      <c:valAx>
        <c:axId val="242393144"/>
        <c:scaling>
          <c:orientation val="minMax"/>
        </c:scaling>
        <c:delete val="0"/>
        <c:axPos val="b"/>
        <c:majorGridlines/>
        <c:numFmt formatCode="#.##000_ ;\-#.##000\ 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2423927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gastos.xlsm]Pago a Proveedores!Tabla 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Gastos *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'Pago a Proveedores'!$B$3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3C5-4D1E-9D67-FE4D3CB8CBFE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3C5-4D1E-9D67-FE4D3CB8CBFE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3C5-4D1E-9D67-FE4D3CB8CBFE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3C5-4D1E-9D67-FE4D3CB8CBF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3C5-4D1E-9D67-FE4D3CB8CBFE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3C5-4D1E-9D67-FE4D3CB8CBFE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60000"/>
                    </a:schemeClr>
                  </a:gs>
                  <a:gs pos="100000">
                    <a:schemeClr val="accent1">
                      <a:lumMod val="6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3C5-4D1E-9D67-FE4D3CB8CBFE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'Pago a Proveedores'!$A$4:$A$5</c:f>
              <c:strCache>
                <c:ptCount val="1"/>
                <c:pt idx="0">
                  <c:v>MAKRO</c:v>
                </c:pt>
              </c:strCache>
            </c:strRef>
          </c:cat>
          <c:val>
            <c:numRef>
              <c:f>'Pago a Proveedores'!$B$4:$B$5</c:f>
              <c:numCache>
                <c:formatCode>#,##0.00</c:formatCode>
                <c:ptCount val="1"/>
                <c:pt idx="0">
                  <c:v>176.05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C5-4D1E-9D67-FE4D3CB8CBF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67799888"/>
        <c:axId val="467800280"/>
      </c:barChart>
      <c:catAx>
        <c:axId val="467799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0280"/>
        <c:crosses val="autoZero"/>
        <c:auto val="1"/>
        <c:lblAlgn val="ctr"/>
        <c:lblOffset val="100"/>
        <c:noMultiLvlLbl val="0"/>
      </c:catAx>
      <c:valAx>
        <c:axId val="46780028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6779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'Detalle Mensual'!$A$3</c:f>
              <c:strCache>
                <c:ptCount val="1"/>
                <c:pt idx="0">
                  <c:v>Agosto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E-4588-BB7E-2C285F0538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E-4588-BB7E-2C285F0538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0E-4588-BB7E-2C285F05385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0E-4588-BB7E-2C285F05385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0E-4588-BB7E-2C285F05385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0E-4588-BB7E-2C285F053858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'Detalle Mensual'!$B$2:$G$2</c:f>
              <c:strCache>
                <c:ptCount val="6"/>
                <c:pt idx="0">
                  <c:v>Ventas</c:v>
                </c:pt>
                <c:pt idx="1">
                  <c:v>Gastos Fijos</c:v>
                </c:pt>
                <c:pt idx="2">
                  <c:v>Pago a Proveedores</c:v>
                </c:pt>
                <c:pt idx="3">
                  <c:v>Nomina</c:v>
                </c:pt>
                <c:pt idx="4">
                  <c:v>Total Gastos</c:v>
                </c:pt>
                <c:pt idx="5">
                  <c:v>Diferencia</c:v>
                </c:pt>
              </c:strCache>
            </c:strRef>
          </c:cat>
          <c:val>
            <c:numRef>
              <c:f>'Detalle Mensual'!$B$3:$G$3</c:f>
              <c:numCache>
                <c:formatCode>"€"#,##0.00_);[Red]\("€"#,##0.00\)</c:formatCode>
                <c:ptCount val="6"/>
                <c:pt idx="0">
                  <c:v>2647.2500000000005</c:v>
                </c:pt>
                <c:pt idx="1">
                  <c:v>871.21</c:v>
                </c:pt>
                <c:pt idx="2">
                  <c:v>3902.6000000000004</c:v>
                </c:pt>
                <c:pt idx="3">
                  <c:v>0</c:v>
                </c:pt>
                <c:pt idx="4">
                  <c:v>4773.8100000000004</c:v>
                </c:pt>
                <c:pt idx="5">
                  <c:v>-2126.56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0E-4588-BB7E-2C285F05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801064"/>
        <c:axId val="467801456"/>
      </c:barChart>
      <c:catAx>
        <c:axId val="467801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1456"/>
        <c:crosses val="autoZero"/>
        <c:auto val="1"/>
        <c:lblAlgn val="ctr"/>
        <c:lblOffset val="100"/>
        <c:noMultiLvlLbl val="0"/>
      </c:catAx>
      <c:valAx>
        <c:axId val="4678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Septiembre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5B-4A2E-B08F-90A08C21D9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5B-4A2E-B08F-90A08C21D9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05B-4A2E-B08F-90A08C21D96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5B-4A2E-B08F-90A08C21D96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05B-4A2E-B08F-90A08C21D96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5B-4A2E-B08F-90A08C21D969}"/>
              </c:ext>
            </c:extLst>
          </c:dPt>
          <c:cat>
            <c:strRef>
              <c:f>'Detalle Mensual'!$B$2:$G$2</c:f>
              <c:strCache>
                <c:ptCount val="6"/>
                <c:pt idx="0">
                  <c:v>Ventas</c:v>
                </c:pt>
                <c:pt idx="1">
                  <c:v>Gastos Fijos</c:v>
                </c:pt>
                <c:pt idx="2">
                  <c:v>Pago a Proveedores</c:v>
                </c:pt>
                <c:pt idx="3">
                  <c:v>Nomina</c:v>
                </c:pt>
                <c:pt idx="4">
                  <c:v>Total Gastos</c:v>
                </c:pt>
                <c:pt idx="5">
                  <c:v>Diferencia</c:v>
                </c:pt>
              </c:strCache>
            </c:strRef>
          </c:cat>
          <c:val>
            <c:numRef>
              <c:f>'Detalle Mensual'!$B$4:$G$4</c:f>
              <c:numCache>
                <c:formatCode>"€"#,##0.00_);[Red]\("€"#,##0.00\)</c:formatCode>
                <c:ptCount val="6"/>
                <c:pt idx="0">
                  <c:v>3549.25</c:v>
                </c:pt>
                <c:pt idx="1">
                  <c:v>1062.05</c:v>
                </c:pt>
                <c:pt idx="2">
                  <c:v>1419.2500000000002</c:v>
                </c:pt>
                <c:pt idx="3">
                  <c:v>0</c:v>
                </c:pt>
                <c:pt idx="4">
                  <c:v>2481.3000000000002</c:v>
                </c:pt>
                <c:pt idx="5">
                  <c:v>1067.9499999999998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05B-4A2E-B08F-90A08C21D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802240"/>
        <c:axId val="467802632"/>
      </c:barChart>
      <c:catAx>
        <c:axId val="467802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2632"/>
        <c:crosses val="autoZero"/>
        <c:auto val="1"/>
        <c:lblAlgn val="ctr"/>
        <c:lblOffset val="100"/>
        <c:noMultiLvlLbl val="0"/>
      </c:catAx>
      <c:valAx>
        <c:axId val="46780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Octubre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19-4BFC-A599-8A3DA93615E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19-4BFC-A599-8A3DA93615E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19-4BFC-A599-8A3DA93615E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D19-4BFC-A599-8A3DA93615E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D19-4BFC-A599-8A3DA93615E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D19-4BFC-A599-8A3DA93615E0}"/>
              </c:ext>
            </c:extLst>
          </c:dPt>
          <c:cat>
            <c:strRef>
              <c:f>'Detalle Mensual'!$B$2:$G$2</c:f>
              <c:strCache>
                <c:ptCount val="6"/>
                <c:pt idx="0">
                  <c:v>Ventas</c:v>
                </c:pt>
                <c:pt idx="1">
                  <c:v>Gastos Fijos</c:v>
                </c:pt>
                <c:pt idx="2">
                  <c:v>Pago a Proveedores</c:v>
                </c:pt>
                <c:pt idx="3">
                  <c:v>Nomina</c:v>
                </c:pt>
                <c:pt idx="4">
                  <c:v>Total Gastos</c:v>
                </c:pt>
                <c:pt idx="5">
                  <c:v>Diferencia</c:v>
                </c:pt>
              </c:strCache>
            </c:strRef>
          </c:cat>
          <c:val>
            <c:numRef>
              <c:f>'Detalle Mensual'!$B$5:$G$5</c:f>
              <c:numCache>
                <c:formatCode>"€"#,##0.00_);[Red]\("€"#,##0.00\)</c:formatCode>
                <c:ptCount val="6"/>
                <c:pt idx="0">
                  <c:v>4029.06</c:v>
                </c:pt>
                <c:pt idx="1">
                  <c:v>2281.1299987792968</c:v>
                </c:pt>
                <c:pt idx="2">
                  <c:v>1021.0799989032746</c:v>
                </c:pt>
                <c:pt idx="3">
                  <c:v>1200</c:v>
                </c:pt>
                <c:pt idx="4">
                  <c:v>4502.2099976825712</c:v>
                </c:pt>
                <c:pt idx="5">
                  <c:v>-473.14999768257121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19-4BFC-A599-8A3DA9361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358568"/>
        <c:axId val="468358960"/>
      </c:barChart>
      <c:catAx>
        <c:axId val="468358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58960"/>
        <c:crosses val="autoZero"/>
        <c:auto val="1"/>
        <c:lblAlgn val="ctr"/>
        <c:lblOffset val="100"/>
        <c:noMultiLvlLbl val="0"/>
      </c:catAx>
      <c:valAx>
        <c:axId val="46835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5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'Detalle Mensual'!$B$2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31-4D7E-AF93-31D0C75EE8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31-4D7E-AF93-31D0C75EE8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831-4D7E-AF93-31D0C75EE80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831-4D7E-AF93-31D0C75EE80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831-4D7E-AF93-31D0C75EE80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E6ED280-C6A3-4FA5-898D-392FE438367B}" type="CELLRANGE">
                      <a:rPr lang="en-US"/>
                      <a:pPr/>
                      <a:t>[CELLRANGE]</a:t>
                    </a:fld>
                    <a:endParaRPr lang="es-E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831-4D7E-AF93-31D0C75EE8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15AC3F-55E8-490F-9A8F-D28D3AFA2989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31-4D7E-AF93-31D0C75EE8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D9407C-1A4E-4DCC-BB1D-C4C3BC6339DC}" type="CELLRANGE">
                      <a:rPr lang="es-ES"/>
                      <a:pPr/>
                      <a:t>[CELLRANGE]</a:t>
                    </a:fld>
                    <a:endParaRPr lang="es-E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31-4D7E-AF93-31D0C75EE8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831-4D7E-AF93-31D0C75EE8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831-4D7E-AF93-31D0C75EE80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'Detalle Mensual'!$A$3:$A$7</c:f>
              <c:strCache>
                <c:ptCount val="5"/>
                <c:pt idx="0">
                  <c:v>Agosto</c:v>
                </c:pt>
                <c:pt idx="1">
                  <c:v>Septiembre</c:v>
                </c:pt>
                <c:pt idx="2">
                  <c:v>Octubre</c:v>
                </c:pt>
                <c:pt idx="3">
                  <c:v>Noviembre</c:v>
                </c:pt>
                <c:pt idx="4">
                  <c:v>Diciembre</c:v>
                </c:pt>
              </c:strCache>
            </c:strRef>
          </c:cat>
          <c:val>
            <c:numRef>
              <c:f>'Detalle Mensual'!$B$3:$B$7</c:f>
              <c:numCache>
                <c:formatCode>"€"#,##0.00_);[Red]\("€"#,##0.00\)</c:formatCode>
                <c:ptCount val="5"/>
                <c:pt idx="0">
                  <c:v>2647.2500000000005</c:v>
                </c:pt>
                <c:pt idx="1">
                  <c:v>3549.25</c:v>
                </c:pt>
                <c:pt idx="2">
                  <c:v>4029.06</c:v>
                </c:pt>
                <c:pt idx="3">
                  <c:v>349.5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'Detalle Mensual'!$B$3:$B$5</c15:f>
                <c15:dlblRangeCache>
                  <c:ptCount val="3"/>
                  <c:pt idx="0">
                    <c:v>€2.647,25 </c:v>
                  </c:pt>
                  <c:pt idx="1">
                    <c:v>€3.549,25 </c:v>
                  </c:pt>
                  <c:pt idx="2">
                    <c:v>€4.029,06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0831-4D7E-AF93-31D0C75EE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8357784"/>
        <c:axId val="468357392"/>
      </c:barChart>
      <c:catAx>
        <c:axId val="46835778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57392"/>
        <c:crosses val="autoZero"/>
        <c:auto val="1"/>
        <c:lblAlgn val="ctr"/>
        <c:lblOffset val="100"/>
        <c:noMultiLvlLbl val="0"/>
      </c:catAx>
      <c:valAx>
        <c:axId val="46835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5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50000"/>
                  </a:schemeClr>
                </a:solidFill>
              </a:rPr>
              <a:t>Noviembre</a:t>
            </a:r>
          </a:p>
        </c:rich>
      </c:tx>
      <c:layout>
        <c:manualLayout>
          <c:xMode val="edge"/>
          <c:yMode val="edge"/>
          <c:x val="0.41240966754155728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'Detalle Mensual'!$A$6</c:f>
              <c:strCache>
                <c:ptCount val="1"/>
                <c:pt idx="0">
                  <c:v>Noviembre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837-4A78-B8DA-99109401DA5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837-4A78-B8DA-99109401DA5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837-4A78-B8DA-99109401DA5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837-4A78-B8DA-99109401DA5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837-4A78-B8DA-99109401DA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837-4A78-B8DA-99109401DA51}"/>
              </c:ext>
            </c:extLst>
          </c:dPt>
          <c:cat>
            <c:strRef>
              <c:f>'Detalle Mensual'!$B$2:$G$2</c:f>
              <c:strCache>
                <c:ptCount val="6"/>
                <c:pt idx="0">
                  <c:v>Ventas</c:v>
                </c:pt>
                <c:pt idx="1">
                  <c:v>Gastos Fijos</c:v>
                </c:pt>
                <c:pt idx="2">
                  <c:v>Pago a Proveedores</c:v>
                </c:pt>
                <c:pt idx="3">
                  <c:v>Nomina</c:v>
                </c:pt>
                <c:pt idx="4">
                  <c:v>Total Gastos</c:v>
                </c:pt>
                <c:pt idx="5">
                  <c:v>Diferencia</c:v>
                </c:pt>
              </c:strCache>
            </c:strRef>
          </c:cat>
          <c:val>
            <c:numRef>
              <c:f>'Detalle Mensual'!$B$6:$G$6</c:f>
              <c:numCache>
                <c:formatCode>General</c:formatCode>
                <c:ptCount val="6"/>
                <c:pt idx="0">
                  <c:v>349.5</c:v>
                </c:pt>
                <c:pt idx="1">
                  <c:v>0</c:v>
                </c:pt>
                <c:pt idx="2">
                  <c:v>176.05</c:v>
                </c:pt>
                <c:pt idx="3">
                  <c:v>0</c:v>
                </c:pt>
                <c:pt idx="4">
                  <c:v>176.05</c:v>
                </c:pt>
                <c:pt idx="5">
                  <c:v>173.45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837-4A78-B8DA-99109401D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359744"/>
        <c:axId val="468360136"/>
      </c:barChart>
      <c:catAx>
        <c:axId val="46835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60136"/>
        <c:crosses val="autoZero"/>
        <c:auto val="1"/>
        <c:lblAlgn val="ctr"/>
        <c:lblOffset val="100"/>
        <c:noMultiLvlLbl val="0"/>
      </c:catAx>
      <c:valAx>
        <c:axId val="46836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3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Tendencia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Tendencias!$C$5:$C$7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C-415A-8752-5359D8D5D0DC}"/>
            </c:ext>
          </c:extLst>
        </c:ser>
        <c:ser>
          <c:idx val="1"/>
          <c:order val="1"/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5.7550306211723535E-3"/>
                  <c:y val="0.207916666666666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val>
            <c:numRef>
              <c:f>Tendencias!$D$5:$D$7</c:f>
              <c:numCache>
                <c:formatCode>"€"#,##0.00_);[Red]\("€"#,##0.00\)</c:formatCode>
                <c:ptCount val="3"/>
                <c:pt idx="0">
                  <c:v>2647.2500000000005</c:v>
                </c:pt>
                <c:pt idx="1">
                  <c:v>3549.25</c:v>
                </c:pt>
                <c:pt idx="2">
                  <c:v>4029.06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1C-415A-8752-5359D8D5D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7803416"/>
        <c:axId val="468035856"/>
      </c:lineChart>
      <c:catAx>
        <c:axId val="46780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5856"/>
        <c:crosses val="autoZero"/>
        <c:auto val="1"/>
        <c:lblAlgn val="ctr"/>
        <c:lblOffset val="100"/>
        <c:noMultiLvlLbl val="0"/>
      </c:catAx>
      <c:valAx>
        <c:axId val="46803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78034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Tendencias!$C$12:$C$14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9F-49C6-9608-459D6F9A5A4E}"/>
            </c:ext>
          </c:extLst>
        </c:ser>
        <c:ser>
          <c:idx val="1"/>
          <c:order val="1"/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8.8378385691479291E-3"/>
                  <c:y val="0.29326759388721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val>
            <c:numRef>
              <c:f>Tendencias!$D$12:$D$14</c:f>
              <c:numCache>
                <c:formatCode>#,##0.00\ "€"</c:formatCode>
                <c:ptCount val="3"/>
                <c:pt idx="0">
                  <c:v>2647.2500000000005</c:v>
                </c:pt>
                <c:pt idx="1">
                  <c:v>3549.25</c:v>
                </c:pt>
                <c:pt idx="2">
                  <c:v>3990.6751999999997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9F-49C6-9608-459D6F9A5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8036640"/>
        <c:axId val="468037032"/>
      </c:lineChart>
      <c:catAx>
        <c:axId val="468036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7032"/>
        <c:crosses val="autoZero"/>
        <c:auto val="1"/>
        <c:lblAlgn val="ctr"/>
        <c:lblOffset val="100"/>
        <c:noMultiLvlLbl val="0"/>
      </c:catAx>
      <c:valAx>
        <c:axId val="468037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66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gastos.xlsm]Tablas!Tabla dinámica2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114163764845755E-2"/>
          <c:y val="0.14505620004344005"/>
          <c:w val="0.87726382582673945"/>
          <c:h val="0.73851957808347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Tablas!$L$5:$L$6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Tablas!$K$7:$K$10</c:f>
              <c:strCache>
                <c:ptCount val="3"/>
                <c:pt idx="0">
                  <c:v>Cerveza</c:v>
                </c:pt>
                <c:pt idx="1">
                  <c:v>Hamburger</c:v>
                </c:pt>
                <c:pt idx="2">
                  <c:v>Pizza</c:v>
                </c:pt>
              </c:strCache>
            </c:strRef>
          </c:cat>
          <c:val>
            <c:numRef>
              <c:f>Tablas!$L$7:$L$10</c:f>
              <c:numCache>
                <c:formatCode>#,##0</c:formatCode>
                <c:ptCount val="3"/>
                <c:pt idx="0">
                  <c:v>543</c:v>
                </c:pt>
                <c:pt idx="1">
                  <c:v>207</c:v>
                </c:pt>
                <c:pt idx="2">
                  <c:v>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8C2-A13A-DEC45493AE4F}"/>
            </c:ext>
          </c:extLst>
        </c:ser>
        <c:ser>
          <c:idx val="1"/>
          <c:order val="1"/>
          <c:tx>
            <c:strRef>
              <c:f>Tablas!$M$5:$M$6</c:f>
              <c:strCache>
                <c:ptCount val="1"/>
                <c:pt idx="0">
                  <c:v>Venta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Tablas!$K$7:$K$10</c:f>
              <c:strCache>
                <c:ptCount val="3"/>
                <c:pt idx="0">
                  <c:v>Cerveza</c:v>
                </c:pt>
                <c:pt idx="1">
                  <c:v>Hamburger</c:v>
                </c:pt>
                <c:pt idx="2">
                  <c:v>Pizza</c:v>
                </c:pt>
              </c:strCache>
            </c:strRef>
          </c:cat>
          <c:val>
            <c:numRef>
              <c:f>Tablas!$M$7:$M$10</c:f>
              <c:numCache>
                <c:formatCode>#,##0.00</c:formatCode>
                <c:ptCount val="3"/>
                <c:pt idx="0">
                  <c:v>1233.1500000000001</c:v>
                </c:pt>
                <c:pt idx="1">
                  <c:v>1420</c:v>
                </c:pt>
                <c:pt idx="2">
                  <c:v>6157.5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8C2-A13A-DEC45493A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037816"/>
        <c:axId val="468038208"/>
      </c:barChart>
      <c:catAx>
        <c:axId val="468037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8208"/>
        <c:crosses val="autoZero"/>
        <c:auto val="1"/>
        <c:lblAlgn val="ctr"/>
        <c:lblOffset val="100"/>
        <c:noMultiLvlLbl val="0"/>
      </c:catAx>
      <c:valAx>
        <c:axId val="46803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gastos.xlsm]Tablas!Tabla dinámica3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2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3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4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5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6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2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3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4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5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6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3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3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4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4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156706658676155"/>
          <c:y val="0.11350737797956867"/>
          <c:w val="0.52127013172506043"/>
          <c:h val="0.85017026106696936"/>
        </c:manualLayout>
      </c:layout>
      <c:doughnutChart>
        <c:varyColors val="1"/>
        <c:ser>
          <c:idx val="0"/>
          <c:order val="0"/>
          <c:tx>
            <c:strRef>
              <c:f>Tablas!$P$5:$P$6</c:f>
              <c:strCache>
                <c:ptCount val="1"/>
                <c:pt idx="0">
                  <c:v>Unidades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F4-4F89-BB47-FC71CA1DD2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F4-4F89-BB47-FC71CA1DD2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F4-4F89-BB47-FC71CA1DD2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F4-4F89-BB47-FC71CA1DD2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F4-4F89-BB47-FC71CA1DD2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2F4-4F89-BB47-FC71CA1DD2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2F4-4F89-BB47-FC71CA1DD2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2F4-4F89-BB47-FC71CA1DD2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2F4-4F89-BB47-FC71CA1DD2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2F4-4F89-BB47-FC71CA1DD2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2F4-4F89-BB47-FC71CA1DD2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2F4-4F89-BB47-FC71CA1DD2E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2F4-4F89-BB47-FC71CA1DD2E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2F4-4F89-BB47-FC71CA1DD2E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2F4-4F89-BB47-FC71CA1DD2E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2F4-4F89-BB47-FC71CA1DD2E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2F4-4F89-BB47-FC71CA1DD2E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2F4-4F89-BB47-FC71CA1DD2EF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2F4-4F89-BB47-FC71CA1DD2EF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2F4-4F89-BB47-FC71CA1DD2EF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2F4-4F89-BB47-FC71CA1DD2EF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2F4-4F89-BB47-FC71CA1DD2EF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2F4-4F89-BB47-FC71CA1DD2EF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2F4-4F89-BB47-FC71CA1DD2EF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2F4-4F89-BB47-FC71CA1DD2EF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2F4-4F89-BB47-FC71CA1DD2EF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2F4-4F89-BB47-FC71CA1DD2EF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2F4-4F89-BB47-FC71CA1DD2EF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2F4-4F89-BB47-FC71CA1DD2EF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2F4-4F89-BB47-FC71CA1DD2EF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2F4-4F89-BB47-FC71CA1DD2EF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2F4-4F89-BB47-FC71CA1DD2EF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2F4-4F89-BB47-FC71CA1DD2EF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2F4-4F89-BB47-FC71CA1DD2EF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2F4-4F89-BB47-FC71CA1DD2EF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2F4-4F89-BB47-FC71CA1DD2EF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2F4-4F89-BB47-FC71CA1DD2EF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2F4-4F89-BB47-FC71CA1DD2EF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2F4-4F89-BB47-FC71CA1DD2EF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2F4-4F89-BB47-FC71CA1DD2EF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2F4-4F89-BB47-FC71CA1DD2EF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2F4-4F89-BB47-FC71CA1DD2EF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2F4-4F89-BB47-FC71CA1DD2EF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2F4-4F89-BB47-FC71CA1DD2EF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2F4-4F89-BB47-FC71CA1DD2EF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2F4-4F89-BB47-FC71CA1DD2EF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2F4-4F89-BB47-FC71CA1DD2EF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2F4-4F89-BB47-FC71CA1DD2EF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2F4-4F89-BB47-FC71CA1DD2EF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2F4-4F89-BB47-FC71CA1DD2EF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E2F4-4F89-BB47-FC71CA1DD2EF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2F4-4F89-BB47-FC71CA1DD2EF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2F4-4F89-BB47-FC71CA1DD2EF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2F4-4F89-BB47-FC71CA1DD2EF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2F4-4F89-BB47-FC71CA1DD2EF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2F4-4F89-BB47-FC71CA1DD2EF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2F4-4F89-BB47-FC71CA1DD2EF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2F4-4F89-BB47-FC71CA1DD2EF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2F4-4F89-BB47-FC71CA1DD2EF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2F4-4F89-BB47-FC71CA1DD2EF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2F4-4F89-BB47-FC71CA1DD2EF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2F4-4F89-BB47-FC71CA1DD2EF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2F4-4F89-BB47-FC71CA1DD2EF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2F4-4F89-BB47-FC71CA1DD2EF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2F4-4F89-BB47-FC71CA1DD2EF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2F4-4F89-BB47-FC71CA1DD2EF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2F4-4F89-BB47-FC71CA1DD2EF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2F4-4F89-BB47-FC71CA1DD2EF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2F4-4F89-BB47-FC71CA1DD2EF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2F4-4F89-BB47-FC71CA1DD2EF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2F4-4F89-BB47-FC71CA1DD2EF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2F4-4F89-BB47-FC71CA1DD2EF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2F4-4F89-BB47-FC71CA1DD2EF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2F4-4F89-BB47-FC71CA1DD2EF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2F4-4F89-BB47-FC71CA1DD2EF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2F4-4F89-BB47-FC71CA1DD2EF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2F4-4F89-BB47-FC71CA1DD2EF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2F4-4F89-BB47-FC71CA1DD2EF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2F4-4F89-BB47-FC71CA1DD2EF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2F4-4F89-BB47-FC71CA1DD2EF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2F4-4F89-BB47-FC71CA1DD2EF}"/>
              </c:ext>
            </c:extLst>
          </c:dPt>
          <c:cat>
            <c:strRef>
              <c:f>Tablas!$O$7:$O$41</c:f>
              <c:strCache>
                <c:ptCount val="34"/>
                <c:pt idx="0">
                  <c:v>4 Quesos</c:v>
                </c:pt>
                <c:pt idx="1">
                  <c:v>Aldeana</c:v>
                </c:pt>
                <c:pt idx="2">
                  <c:v>Amstel Oro</c:v>
                </c:pt>
                <c:pt idx="3">
                  <c:v>Amstel Oro 0,0</c:v>
                </c:pt>
                <c:pt idx="4">
                  <c:v>Amstel radler</c:v>
                </c:pt>
                <c:pt idx="5">
                  <c:v>BBQ</c:v>
                </c:pt>
                <c:pt idx="6">
                  <c:v>Burger Bigger</c:v>
                </c:pt>
                <c:pt idx="7">
                  <c:v>Burger Kapritxos</c:v>
                </c:pt>
                <c:pt idx="8">
                  <c:v>Caña</c:v>
                </c:pt>
                <c:pt idx="9">
                  <c:v>Caña/Gas</c:v>
                </c:pt>
                <c:pt idx="10">
                  <c:v>Capresa</c:v>
                </c:pt>
                <c:pt idx="11">
                  <c:v>Carbonara</c:v>
                </c:pt>
                <c:pt idx="12">
                  <c:v>Chik-n Crunch</c:v>
                </c:pt>
                <c:pt idx="13">
                  <c:v>Chik-n Crunch Peke</c:v>
                </c:pt>
                <c:pt idx="14">
                  <c:v>Clasica</c:v>
                </c:pt>
                <c:pt idx="15">
                  <c:v>Fatto in Casa</c:v>
                </c:pt>
                <c:pt idx="16">
                  <c:v>Hawaiana</c:v>
                </c:pt>
                <c:pt idx="17">
                  <c:v>Heineken</c:v>
                </c:pt>
                <c:pt idx="18">
                  <c:v>Heineken 0,0</c:v>
                </c:pt>
                <c:pt idx="19">
                  <c:v>Kapritxos</c:v>
                </c:pt>
                <c:pt idx="20">
                  <c:v>Margarita</c:v>
                </c:pt>
                <c:pt idx="21">
                  <c:v>Napolitana</c:v>
                </c:pt>
                <c:pt idx="22">
                  <c:v>Ragazza</c:v>
                </c:pt>
                <c:pt idx="23">
                  <c:v>Rubia 18/70</c:v>
                </c:pt>
                <c:pt idx="24">
                  <c:v>Sicilana</c:v>
                </c:pt>
                <c:pt idx="25">
                  <c:v>Suprema</c:v>
                </c:pt>
                <c:pt idx="26">
                  <c:v>Topping</c:v>
                </c:pt>
                <c:pt idx="27">
                  <c:v>Topping </c:v>
                </c:pt>
                <c:pt idx="28">
                  <c:v>Zurito</c:v>
                </c:pt>
                <c:pt idx="29">
                  <c:v>Zurito/Gas</c:v>
                </c:pt>
                <c:pt idx="30">
                  <c:v>Trio MiniBurger</c:v>
                </c:pt>
                <c:pt idx="31">
                  <c:v>2.Topping</c:v>
                </c:pt>
                <c:pt idx="32">
                  <c:v>Estrella Galicia</c:v>
                </c:pt>
                <c:pt idx="33">
                  <c:v>1.Topping</c:v>
                </c:pt>
              </c:strCache>
            </c:strRef>
          </c:cat>
          <c:val>
            <c:numRef>
              <c:f>Tablas!$P$7:$P$41</c:f>
              <c:numCache>
                <c:formatCode>0.00%</c:formatCode>
                <c:ptCount val="34"/>
                <c:pt idx="0">
                  <c:v>2.7049180327868853E-2</c:v>
                </c:pt>
                <c:pt idx="1">
                  <c:v>1.3114754098360656E-2</c:v>
                </c:pt>
                <c:pt idx="2">
                  <c:v>6.7213114754098358E-2</c:v>
                </c:pt>
                <c:pt idx="3">
                  <c:v>3.2786885245901639E-3</c:v>
                </c:pt>
                <c:pt idx="4">
                  <c:v>3.4426229508196723E-2</c:v>
                </c:pt>
                <c:pt idx="5">
                  <c:v>3.6885245901639344E-2</c:v>
                </c:pt>
                <c:pt idx="6">
                  <c:v>5.737704918032787E-2</c:v>
                </c:pt>
                <c:pt idx="7">
                  <c:v>1.2295081967213115E-2</c:v>
                </c:pt>
                <c:pt idx="8">
                  <c:v>0.25327868852459018</c:v>
                </c:pt>
                <c:pt idx="9">
                  <c:v>4.0983606557377051E-3</c:v>
                </c:pt>
                <c:pt idx="10">
                  <c:v>1.3114754098360656E-2</c:v>
                </c:pt>
                <c:pt idx="11">
                  <c:v>1.5573770491803279E-2</c:v>
                </c:pt>
                <c:pt idx="12">
                  <c:v>3.4426229508196723E-2</c:v>
                </c:pt>
                <c:pt idx="13">
                  <c:v>1.639344262295082E-3</c:v>
                </c:pt>
                <c:pt idx="14">
                  <c:v>4.9180327868852458E-2</c:v>
                </c:pt>
                <c:pt idx="15">
                  <c:v>1.4754098360655738E-2</c:v>
                </c:pt>
                <c:pt idx="16">
                  <c:v>1.0655737704918032E-2</c:v>
                </c:pt>
                <c:pt idx="17">
                  <c:v>1.2295081967213115E-2</c:v>
                </c:pt>
                <c:pt idx="18">
                  <c:v>5.7377049180327867E-3</c:v>
                </c:pt>
                <c:pt idx="19">
                  <c:v>2.9508196721311476E-2</c:v>
                </c:pt>
                <c:pt idx="20">
                  <c:v>7.2131147540983612E-2</c:v>
                </c:pt>
                <c:pt idx="21">
                  <c:v>4.9180327868852463E-3</c:v>
                </c:pt>
                <c:pt idx="22">
                  <c:v>9.8360655737704927E-3</c:v>
                </c:pt>
                <c:pt idx="23">
                  <c:v>1.0655737704918032E-2</c:v>
                </c:pt>
                <c:pt idx="24">
                  <c:v>5.4098360655737705E-2</c:v>
                </c:pt>
                <c:pt idx="25">
                  <c:v>2.540983606557377E-2</c:v>
                </c:pt>
                <c:pt idx="26">
                  <c:v>3.1147540983606559E-2</c:v>
                </c:pt>
                <c:pt idx="27">
                  <c:v>2.7049180327868853E-2</c:v>
                </c:pt>
                <c:pt idx="28">
                  <c:v>3.8524590163934426E-2</c:v>
                </c:pt>
                <c:pt idx="29">
                  <c:v>1.639344262295082E-3</c:v>
                </c:pt>
                <c:pt idx="30">
                  <c:v>5.7377049180327867E-3</c:v>
                </c:pt>
                <c:pt idx="31">
                  <c:v>4.0983606557377051E-3</c:v>
                </c:pt>
                <c:pt idx="32">
                  <c:v>1.3934426229508197E-2</c:v>
                </c:pt>
                <c:pt idx="33">
                  <c:v>4.9180327868852463E-3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E2F4-4F89-BB47-FC71CA1DD2EF}"/>
            </c:ext>
          </c:extLst>
        </c:ser>
        <c:ser>
          <c:idx val="1"/>
          <c:order val="1"/>
          <c:tx>
            <c:strRef>
              <c:f>Tablas!$Q$5:$Q$6</c:f>
              <c:strCache>
                <c:ptCount val="1"/>
                <c:pt idx="0">
                  <c:v>Venta 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4-E2F4-4F89-BB47-FC71CA1DD2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6-E2F4-4F89-BB47-FC71CA1DD2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8-E2F4-4F89-BB47-FC71CA1DD2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A-E2F4-4F89-BB47-FC71CA1DD2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C-E2F4-4F89-BB47-FC71CA1DD2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E-E2F4-4F89-BB47-FC71CA1DD2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0-E2F4-4F89-BB47-FC71CA1DD2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2-E2F4-4F89-BB47-FC71CA1DD2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4-E2F4-4F89-BB47-FC71CA1DD2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6-E2F4-4F89-BB47-FC71CA1DD2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8-E2F4-4F89-BB47-FC71CA1DD2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A-E2F4-4F89-BB47-FC71CA1DD2E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C-E2F4-4F89-BB47-FC71CA1DD2E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E-E2F4-4F89-BB47-FC71CA1DD2E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0-E2F4-4F89-BB47-FC71CA1DD2E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2-E2F4-4F89-BB47-FC71CA1DD2E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4-E2F4-4F89-BB47-FC71CA1DD2E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6-E2F4-4F89-BB47-FC71CA1DD2EF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8-E2F4-4F89-BB47-FC71CA1DD2EF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A-E2F4-4F89-BB47-FC71CA1DD2EF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E2F4-4F89-BB47-FC71CA1DD2EF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E2F4-4F89-BB47-FC71CA1DD2EF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E2F4-4F89-BB47-FC71CA1DD2EF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E2F4-4F89-BB47-FC71CA1DD2EF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E2F4-4F89-BB47-FC71CA1DD2EF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E2F4-4F89-BB47-FC71CA1DD2EF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E2F4-4F89-BB47-FC71CA1DD2EF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E2F4-4F89-BB47-FC71CA1DD2EF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E2F4-4F89-BB47-FC71CA1DD2EF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E2F4-4F89-BB47-FC71CA1DD2EF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E2F4-4F89-BB47-FC71CA1DD2EF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E2F4-4F89-BB47-FC71CA1DD2EF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E2F4-4F89-BB47-FC71CA1DD2EF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E2F4-4F89-BB47-FC71CA1DD2EF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E2F4-4F89-BB47-FC71CA1DD2EF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E2F4-4F89-BB47-FC71CA1DD2EF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E2F4-4F89-BB47-FC71CA1DD2EF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E2F4-4F89-BB47-FC71CA1DD2EF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E2F4-4F89-BB47-FC71CA1DD2EF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E2F4-4F89-BB47-FC71CA1DD2EF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E2F4-4F89-BB47-FC71CA1DD2EF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E2F4-4F89-BB47-FC71CA1DD2EF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E2F4-4F89-BB47-FC71CA1DD2EF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E2F4-4F89-BB47-FC71CA1DD2EF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E2F4-4F89-BB47-FC71CA1DD2EF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E2F4-4F89-BB47-FC71CA1DD2EF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E2F4-4F89-BB47-FC71CA1DD2EF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E2F4-4F89-BB47-FC71CA1DD2EF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E2F4-4F89-BB47-FC71CA1DD2EF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E2F4-4F89-BB47-FC71CA1DD2EF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E2F4-4F89-BB47-FC71CA1DD2EF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E2F4-4F89-BB47-FC71CA1DD2EF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E2F4-4F89-BB47-FC71CA1DD2EF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E2F4-4F89-BB47-FC71CA1DD2EF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E2F4-4F89-BB47-FC71CA1DD2EF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E2F4-4F89-BB47-FC71CA1DD2EF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E2F4-4F89-BB47-FC71CA1DD2EF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E2F4-4F89-BB47-FC71CA1DD2EF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E2F4-4F89-BB47-FC71CA1DD2EF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E2F4-4F89-BB47-FC71CA1DD2EF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E2F4-4F89-BB47-FC71CA1DD2EF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E2F4-4F89-BB47-FC71CA1DD2EF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E2F4-4F89-BB47-FC71CA1DD2EF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E2F4-4F89-BB47-FC71CA1DD2EF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E2F4-4F89-BB47-FC71CA1DD2EF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E2F4-4F89-BB47-FC71CA1DD2EF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E2F4-4F89-BB47-FC71CA1DD2EF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E2F4-4F89-BB47-FC71CA1DD2EF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E2F4-4F89-BB47-FC71CA1DD2EF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E2F4-4F89-BB47-FC71CA1DD2EF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E2F4-4F89-BB47-FC71CA1DD2EF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E2F4-4F89-BB47-FC71CA1DD2EF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E2F4-4F89-BB47-FC71CA1DD2EF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E2F4-4F89-BB47-FC71CA1DD2EF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E2F4-4F89-BB47-FC71CA1DD2EF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E2F4-4F89-BB47-FC71CA1DD2EF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E2F4-4F89-BB47-FC71CA1DD2EF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E2F4-4F89-BB47-FC71CA1DD2EF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E2F4-4F89-BB47-FC71CA1DD2EF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E2F4-4F89-BB47-FC71CA1DD2EF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E2F4-4F89-BB47-FC71CA1DD2EF}"/>
              </c:ext>
            </c:extLst>
          </c:dPt>
          <c:cat>
            <c:strRef>
              <c:f>Tablas!$O$7:$O$41</c:f>
              <c:strCache>
                <c:ptCount val="34"/>
                <c:pt idx="0">
                  <c:v>4 Quesos</c:v>
                </c:pt>
                <c:pt idx="1">
                  <c:v>Aldeana</c:v>
                </c:pt>
                <c:pt idx="2">
                  <c:v>Amstel Oro</c:v>
                </c:pt>
                <c:pt idx="3">
                  <c:v>Amstel Oro 0,0</c:v>
                </c:pt>
                <c:pt idx="4">
                  <c:v>Amstel radler</c:v>
                </c:pt>
                <c:pt idx="5">
                  <c:v>BBQ</c:v>
                </c:pt>
                <c:pt idx="6">
                  <c:v>Burger Bigger</c:v>
                </c:pt>
                <c:pt idx="7">
                  <c:v>Burger Kapritxos</c:v>
                </c:pt>
                <c:pt idx="8">
                  <c:v>Caña</c:v>
                </c:pt>
                <c:pt idx="9">
                  <c:v>Caña/Gas</c:v>
                </c:pt>
                <c:pt idx="10">
                  <c:v>Capresa</c:v>
                </c:pt>
                <c:pt idx="11">
                  <c:v>Carbonara</c:v>
                </c:pt>
                <c:pt idx="12">
                  <c:v>Chik-n Crunch</c:v>
                </c:pt>
                <c:pt idx="13">
                  <c:v>Chik-n Crunch Peke</c:v>
                </c:pt>
                <c:pt idx="14">
                  <c:v>Clasica</c:v>
                </c:pt>
                <c:pt idx="15">
                  <c:v>Fatto in Casa</c:v>
                </c:pt>
                <c:pt idx="16">
                  <c:v>Hawaiana</c:v>
                </c:pt>
                <c:pt idx="17">
                  <c:v>Heineken</c:v>
                </c:pt>
                <c:pt idx="18">
                  <c:v>Heineken 0,0</c:v>
                </c:pt>
                <c:pt idx="19">
                  <c:v>Kapritxos</c:v>
                </c:pt>
                <c:pt idx="20">
                  <c:v>Margarita</c:v>
                </c:pt>
                <c:pt idx="21">
                  <c:v>Napolitana</c:v>
                </c:pt>
                <c:pt idx="22">
                  <c:v>Ragazza</c:v>
                </c:pt>
                <c:pt idx="23">
                  <c:v>Rubia 18/70</c:v>
                </c:pt>
                <c:pt idx="24">
                  <c:v>Sicilana</c:v>
                </c:pt>
                <c:pt idx="25">
                  <c:v>Suprema</c:v>
                </c:pt>
                <c:pt idx="26">
                  <c:v>Topping</c:v>
                </c:pt>
                <c:pt idx="27">
                  <c:v>Topping </c:v>
                </c:pt>
                <c:pt idx="28">
                  <c:v>Zurito</c:v>
                </c:pt>
                <c:pt idx="29">
                  <c:v>Zurito/Gas</c:v>
                </c:pt>
                <c:pt idx="30">
                  <c:v>Trio MiniBurger</c:v>
                </c:pt>
                <c:pt idx="31">
                  <c:v>2.Topping</c:v>
                </c:pt>
                <c:pt idx="32">
                  <c:v>Estrella Galicia</c:v>
                </c:pt>
                <c:pt idx="33">
                  <c:v>1.Topping</c:v>
                </c:pt>
              </c:strCache>
            </c:strRef>
          </c:cat>
          <c:val>
            <c:numRef>
              <c:f>Tablas!$Q$7:$Q$41</c:f>
              <c:numCache>
                <c:formatCode>0.00%</c:formatCode>
                <c:ptCount val="34"/>
                <c:pt idx="0">
                  <c:v>5.6806251525142869E-2</c:v>
                </c:pt>
                <c:pt idx="1">
                  <c:v>3.0247484578322825E-2</c:v>
                </c:pt>
                <c:pt idx="2">
                  <c:v>2.7920754995374917E-2</c:v>
                </c:pt>
                <c:pt idx="3">
                  <c:v>1.3619880485548741E-3</c:v>
                </c:pt>
                <c:pt idx="4">
                  <c:v>1.4306549460028489E-2</c:v>
                </c:pt>
                <c:pt idx="5">
                  <c:v>8.5294501540748982E-2</c:v>
                </c:pt>
                <c:pt idx="6">
                  <c:v>6.355944226589412E-2</c:v>
                </c:pt>
                <c:pt idx="7">
                  <c:v>1.7024850606935926E-2</c:v>
                </c:pt>
                <c:pt idx="8">
                  <c:v>7.0142384500576013E-2</c:v>
                </c:pt>
                <c:pt idx="9">
                  <c:v>1.3052385465317543E-3</c:v>
                </c:pt>
                <c:pt idx="10">
                  <c:v>2.5537275910403886E-2</c:v>
                </c:pt>
                <c:pt idx="11">
                  <c:v>3.0020486570230348E-2</c:v>
                </c:pt>
                <c:pt idx="12">
                  <c:v>2.3834790849710293E-2</c:v>
                </c:pt>
                <c:pt idx="13">
                  <c:v>9.0799203236991604E-4</c:v>
                </c:pt>
                <c:pt idx="14">
                  <c:v>4.7669581699420586E-2</c:v>
                </c:pt>
                <c:pt idx="15">
                  <c:v>3.5071192250288007E-2</c:v>
                </c:pt>
                <c:pt idx="16">
                  <c:v>2.3153796825432858E-2</c:v>
                </c:pt>
                <c:pt idx="17">
                  <c:v>5.1074551820807779E-3</c:v>
                </c:pt>
                <c:pt idx="18">
                  <c:v>2.3834790849710293E-3</c:v>
                </c:pt>
                <c:pt idx="19">
                  <c:v>6.8666897447974898E-2</c:v>
                </c:pt>
                <c:pt idx="20">
                  <c:v>0.10532707575491025</c:v>
                </c:pt>
                <c:pt idx="21">
                  <c:v>6.1289462184969329E-3</c:v>
                </c:pt>
                <c:pt idx="22">
                  <c:v>2.247280280115542E-2</c:v>
                </c:pt>
                <c:pt idx="23">
                  <c:v>4.4264611578033403E-3</c:v>
                </c:pt>
                <c:pt idx="24">
                  <c:v>0.13608530585144116</c:v>
                </c:pt>
                <c:pt idx="25">
                  <c:v>5.7827742561559023E-2</c:v>
                </c:pt>
                <c:pt idx="26">
                  <c:v>8.739423311560442E-3</c:v>
                </c:pt>
                <c:pt idx="27">
                  <c:v>7.4909342670518072E-3</c:v>
                </c:pt>
                <c:pt idx="28">
                  <c:v>6.934789147225234E-3</c:v>
                </c:pt>
                <c:pt idx="29">
                  <c:v>3.4049701213871851E-4</c:v>
                </c:pt>
                <c:pt idx="30">
                  <c:v>6.3559442265894118E-3</c:v>
                </c:pt>
                <c:pt idx="31">
                  <c:v>1.1349900404623949E-3</c:v>
                </c:pt>
                <c:pt idx="32">
                  <c:v>5.7316997043350944E-3</c:v>
                </c:pt>
                <c:pt idx="33">
                  <c:v>6.8099402427743703E-4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45-E2F4-4F89-BB47-FC71CA1DD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gastos.xlsm]Tablas!Tabla dinámica1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2025371828521432E-2"/>
          <c:y val="0.13306162892588499"/>
          <c:w val="0.88741907261592312"/>
          <c:h val="0.37814024991584083"/>
        </c:manualLayout>
      </c:layout>
      <c:area3DChart>
        <c:grouping val="standard"/>
        <c:varyColors val="0"/>
        <c:ser>
          <c:idx val="0"/>
          <c:order val="0"/>
          <c:tx>
            <c:strRef>
              <c:f>Tablas!$H$5:$H$6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multiLvlStrRef>
              <c:f>Tablas!$G$7:$G$77</c:f>
              <c:multiLvlStrCache>
                <c:ptCount val="61"/>
                <c:lvl>
                  <c:pt idx="0">
                    <c:v>Amstel Oro</c:v>
                  </c:pt>
                  <c:pt idx="1">
                    <c:v>Amstel Oro 0,0</c:v>
                  </c:pt>
                  <c:pt idx="2">
                    <c:v>Amstel radler</c:v>
                  </c:pt>
                  <c:pt idx="3">
                    <c:v>Heineken</c:v>
                  </c:pt>
                  <c:pt idx="4">
                    <c:v>Heineken 0,0</c:v>
                  </c:pt>
                  <c:pt idx="5">
                    <c:v>Rubia 18/70</c:v>
                  </c:pt>
                  <c:pt idx="6">
                    <c:v>Estrella Galicia</c:v>
                  </c:pt>
                  <c:pt idx="7">
                    <c:v>Caña</c:v>
                  </c:pt>
                  <c:pt idx="8">
                    <c:v>Caña/Gas</c:v>
                  </c:pt>
                  <c:pt idx="9">
                    <c:v>Zurito</c:v>
                  </c:pt>
                  <c:pt idx="10">
                    <c:v>Zurito/Gas</c:v>
                  </c:pt>
                  <c:pt idx="11">
                    <c:v>Burger Bigger</c:v>
                  </c:pt>
                  <c:pt idx="12">
                    <c:v>Burger Kapritxos</c:v>
                  </c:pt>
                  <c:pt idx="13">
                    <c:v>Chik-n Crunch</c:v>
                  </c:pt>
                  <c:pt idx="14">
                    <c:v>Chik-n Crunch Peke</c:v>
                  </c:pt>
                  <c:pt idx="15">
                    <c:v>Clasica</c:v>
                  </c:pt>
                  <c:pt idx="16">
                    <c:v>Trio MiniBurger</c:v>
                  </c:pt>
                  <c:pt idx="17">
                    <c:v>2.Topping</c:v>
                  </c:pt>
                  <c:pt idx="18">
                    <c:v>1.Topping</c:v>
                  </c:pt>
                  <c:pt idx="19">
                    <c:v>4 Quesos</c:v>
                  </c:pt>
                  <c:pt idx="20">
                    <c:v>Aldeana</c:v>
                  </c:pt>
                  <c:pt idx="21">
                    <c:v>BBQ</c:v>
                  </c:pt>
                  <c:pt idx="22">
                    <c:v>Capresa</c:v>
                  </c:pt>
                  <c:pt idx="23">
                    <c:v>Carbonara</c:v>
                  </c:pt>
                  <c:pt idx="24">
                    <c:v>Fatto in Casa</c:v>
                  </c:pt>
                  <c:pt idx="25">
                    <c:v>Hawaiana</c:v>
                  </c:pt>
                  <c:pt idx="26">
                    <c:v>Kapritxos</c:v>
                  </c:pt>
                  <c:pt idx="27">
                    <c:v>Margarita</c:v>
                  </c:pt>
                  <c:pt idx="28">
                    <c:v>Napolitana</c:v>
                  </c:pt>
                  <c:pt idx="29">
                    <c:v>Ragazza</c:v>
                  </c:pt>
                  <c:pt idx="30">
                    <c:v>Sicilana</c:v>
                  </c:pt>
                  <c:pt idx="31">
                    <c:v>Suprema</c:v>
                  </c:pt>
                  <c:pt idx="32">
                    <c:v>Topping</c:v>
                  </c:pt>
                  <c:pt idx="33">
                    <c:v>4 Quesos</c:v>
                  </c:pt>
                  <c:pt idx="34">
                    <c:v>Aldeana</c:v>
                  </c:pt>
                  <c:pt idx="35">
                    <c:v>BBQ</c:v>
                  </c:pt>
                  <c:pt idx="36">
                    <c:v>Capresa</c:v>
                  </c:pt>
                  <c:pt idx="37">
                    <c:v>Carbonara</c:v>
                  </c:pt>
                  <c:pt idx="38">
                    <c:v>Fatto in Casa</c:v>
                  </c:pt>
                  <c:pt idx="39">
                    <c:v>Hawaiana</c:v>
                  </c:pt>
                  <c:pt idx="40">
                    <c:v>Kapritxos</c:v>
                  </c:pt>
                  <c:pt idx="41">
                    <c:v>Margarita</c:v>
                  </c:pt>
                  <c:pt idx="42">
                    <c:v>Napolitana</c:v>
                  </c:pt>
                  <c:pt idx="43">
                    <c:v>Ragazza</c:v>
                  </c:pt>
                  <c:pt idx="44">
                    <c:v>Sicilana</c:v>
                  </c:pt>
                  <c:pt idx="45">
                    <c:v>Suprema</c:v>
                  </c:pt>
                  <c:pt idx="46">
                    <c:v>Topping</c:v>
                  </c:pt>
                  <c:pt idx="47">
                    <c:v>4 Quesos</c:v>
                  </c:pt>
                  <c:pt idx="48">
                    <c:v>Aldeana</c:v>
                  </c:pt>
                  <c:pt idx="49">
                    <c:v>BBQ</c:v>
                  </c:pt>
                  <c:pt idx="50">
                    <c:v>Capresa</c:v>
                  </c:pt>
                  <c:pt idx="51">
                    <c:v>Carbonara</c:v>
                  </c:pt>
                  <c:pt idx="52">
                    <c:v>Fatto in Casa</c:v>
                  </c:pt>
                  <c:pt idx="53">
                    <c:v>Hawaiana</c:v>
                  </c:pt>
                  <c:pt idx="54">
                    <c:v>Kapritxos</c:v>
                  </c:pt>
                  <c:pt idx="55">
                    <c:v>Margarita</c:v>
                  </c:pt>
                  <c:pt idx="56">
                    <c:v>Napolitana</c:v>
                  </c:pt>
                  <c:pt idx="57">
                    <c:v>Ragazza</c:v>
                  </c:pt>
                  <c:pt idx="58">
                    <c:v>Sicilana</c:v>
                  </c:pt>
                  <c:pt idx="59">
                    <c:v>Suprema</c:v>
                  </c:pt>
                  <c:pt idx="60">
                    <c:v>Topping </c:v>
                  </c:pt>
                </c:lvl>
                <c:lvl>
                  <c:pt idx="0">
                    <c:v>Botellas</c:v>
                  </c:pt>
                  <c:pt idx="7">
                    <c:v>Cerveza</c:v>
                  </c:pt>
                  <c:pt idx="11">
                    <c:v>Hamburger</c:v>
                  </c:pt>
                  <c:pt idx="19">
                    <c:v>Pizza Familiar</c:v>
                  </c:pt>
                  <c:pt idx="33">
                    <c:v>Pizza Individual</c:v>
                  </c:pt>
                  <c:pt idx="47">
                    <c:v>Pizza Mediana</c:v>
                  </c:pt>
                </c:lvl>
                <c:lvl>
                  <c:pt idx="0">
                    <c:v>Cerveza</c:v>
                  </c:pt>
                  <c:pt idx="11">
                    <c:v>Hamburger</c:v>
                  </c:pt>
                  <c:pt idx="19">
                    <c:v>Pizza</c:v>
                  </c:pt>
                </c:lvl>
              </c:multiLvlStrCache>
            </c:multiLvlStrRef>
          </c:cat>
          <c:val>
            <c:numRef>
              <c:f>Tablas!$H$7:$H$77</c:f>
              <c:numCache>
                <c:formatCode>#,##0</c:formatCode>
                <c:ptCount val="61"/>
                <c:pt idx="0">
                  <c:v>82</c:v>
                </c:pt>
                <c:pt idx="1">
                  <c:v>4</c:v>
                </c:pt>
                <c:pt idx="2">
                  <c:v>42</c:v>
                </c:pt>
                <c:pt idx="3">
                  <c:v>15</c:v>
                </c:pt>
                <c:pt idx="4">
                  <c:v>7</c:v>
                </c:pt>
                <c:pt idx="5">
                  <c:v>13</c:v>
                </c:pt>
                <c:pt idx="6">
                  <c:v>17</c:v>
                </c:pt>
                <c:pt idx="7">
                  <c:v>309</c:v>
                </c:pt>
                <c:pt idx="8">
                  <c:v>5</c:v>
                </c:pt>
                <c:pt idx="9">
                  <c:v>47</c:v>
                </c:pt>
                <c:pt idx="10">
                  <c:v>2</c:v>
                </c:pt>
                <c:pt idx="11">
                  <c:v>70</c:v>
                </c:pt>
                <c:pt idx="12">
                  <c:v>15</c:v>
                </c:pt>
                <c:pt idx="13">
                  <c:v>42</c:v>
                </c:pt>
                <c:pt idx="14">
                  <c:v>2</c:v>
                </c:pt>
                <c:pt idx="15">
                  <c:v>60</c:v>
                </c:pt>
                <c:pt idx="16">
                  <c:v>7</c:v>
                </c:pt>
                <c:pt idx="17">
                  <c:v>5</c:v>
                </c:pt>
                <c:pt idx="18">
                  <c:v>6</c:v>
                </c:pt>
                <c:pt idx="19">
                  <c:v>4</c:v>
                </c:pt>
                <c:pt idx="20">
                  <c:v>3</c:v>
                </c:pt>
                <c:pt idx="21">
                  <c:v>9</c:v>
                </c:pt>
                <c:pt idx="22">
                  <c:v>1</c:v>
                </c:pt>
                <c:pt idx="23">
                  <c:v>4</c:v>
                </c:pt>
                <c:pt idx="24">
                  <c:v>6</c:v>
                </c:pt>
                <c:pt idx="25">
                  <c:v>3</c:v>
                </c:pt>
                <c:pt idx="26">
                  <c:v>7</c:v>
                </c:pt>
                <c:pt idx="27">
                  <c:v>18</c:v>
                </c:pt>
                <c:pt idx="28">
                  <c:v>1</c:v>
                </c:pt>
                <c:pt idx="29">
                  <c:v>3</c:v>
                </c:pt>
                <c:pt idx="30">
                  <c:v>19</c:v>
                </c:pt>
                <c:pt idx="31">
                  <c:v>6</c:v>
                </c:pt>
                <c:pt idx="32">
                  <c:v>20</c:v>
                </c:pt>
                <c:pt idx="33">
                  <c:v>11</c:v>
                </c:pt>
                <c:pt idx="34">
                  <c:v>3</c:v>
                </c:pt>
                <c:pt idx="35">
                  <c:v>12</c:v>
                </c:pt>
                <c:pt idx="36">
                  <c:v>7</c:v>
                </c:pt>
                <c:pt idx="37">
                  <c:v>10</c:v>
                </c:pt>
                <c:pt idx="38">
                  <c:v>6</c:v>
                </c:pt>
                <c:pt idx="39">
                  <c:v>4</c:v>
                </c:pt>
                <c:pt idx="40">
                  <c:v>9</c:v>
                </c:pt>
                <c:pt idx="41">
                  <c:v>26</c:v>
                </c:pt>
                <c:pt idx="42">
                  <c:v>4</c:v>
                </c:pt>
                <c:pt idx="43">
                  <c:v>4</c:v>
                </c:pt>
                <c:pt idx="44">
                  <c:v>12</c:v>
                </c:pt>
                <c:pt idx="45">
                  <c:v>9</c:v>
                </c:pt>
                <c:pt idx="46">
                  <c:v>18</c:v>
                </c:pt>
                <c:pt idx="47">
                  <c:v>18</c:v>
                </c:pt>
                <c:pt idx="48">
                  <c:v>10</c:v>
                </c:pt>
                <c:pt idx="49">
                  <c:v>24</c:v>
                </c:pt>
                <c:pt idx="50">
                  <c:v>8</c:v>
                </c:pt>
                <c:pt idx="51">
                  <c:v>5</c:v>
                </c:pt>
                <c:pt idx="52">
                  <c:v>6</c:v>
                </c:pt>
                <c:pt idx="53">
                  <c:v>6</c:v>
                </c:pt>
                <c:pt idx="54">
                  <c:v>20</c:v>
                </c:pt>
                <c:pt idx="55">
                  <c:v>44</c:v>
                </c:pt>
                <c:pt idx="56">
                  <c:v>1</c:v>
                </c:pt>
                <c:pt idx="57">
                  <c:v>5</c:v>
                </c:pt>
                <c:pt idx="58">
                  <c:v>35</c:v>
                </c:pt>
                <c:pt idx="59">
                  <c:v>16</c:v>
                </c:pt>
                <c:pt idx="6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4-495D-B934-C165826F2EB1}"/>
            </c:ext>
          </c:extLst>
        </c:ser>
        <c:ser>
          <c:idx val="1"/>
          <c:order val="1"/>
          <c:tx>
            <c:strRef>
              <c:f>Tablas!$I$5:$I$6</c:f>
              <c:strCache>
                <c:ptCount val="1"/>
                <c:pt idx="0">
                  <c:v>Venta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multiLvlStrRef>
              <c:f>Tablas!$G$7:$G$77</c:f>
              <c:multiLvlStrCache>
                <c:ptCount val="61"/>
                <c:lvl>
                  <c:pt idx="0">
                    <c:v>Amstel Oro</c:v>
                  </c:pt>
                  <c:pt idx="1">
                    <c:v>Amstel Oro 0,0</c:v>
                  </c:pt>
                  <c:pt idx="2">
                    <c:v>Amstel radler</c:v>
                  </c:pt>
                  <c:pt idx="3">
                    <c:v>Heineken</c:v>
                  </c:pt>
                  <c:pt idx="4">
                    <c:v>Heineken 0,0</c:v>
                  </c:pt>
                  <c:pt idx="5">
                    <c:v>Rubia 18/70</c:v>
                  </c:pt>
                  <c:pt idx="6">
                    <c:v>Estrella Galicia</c:v>
                  </c:pt>
                  <c:pt idx="7">
                    <c:v>Caña</c:v>
                  </c:pt>
                  <c:pt idx="8">
                    <c:v>Caña/Gas</c:v>
                  </c:pt>
                  <c:pt idx="9">
                    <c:v>Zurito</c:v>
                  </c:pt>
                  <c:pt idx="10">
                    <c:v>Zurito/Gas</c:v>
                  </c:pt>
                  <c:pt idx="11">
                    <c:v>Burger Bigger</c:v>
                  </c:pt>
                  <c:pt idx="12">
                    <c:v>Burger Kapritxos</c:v>
                  </c:pt>
                  <c:pt idx="13">
                    <c:v>Chik-n Crunch</c:v>
                  </c:pt>
                  <c:pt idx="14">
                    <c:v>Chik-n Crunch Peke</c:v>
                  </c:pt>
                  <c:pt idx="15">
                    <c:v>Clasica</c:v>
                  </c:pt>
                  <c:pt idx="16">
                    <c:v>Trio MiniBurger</c:v>
                  </c:pt>
                  <c:pt idx="17">
                    <c:v>2.Topping</c:v>
                  </c:pt>
                  <c:pt idx="18">
                    <c:v>1.Topping</c:v>
                  </c:pt>
                  <c:pt idx="19">
                    <c:v>4 Quesos</c:v>
                  </c:pt>
                  <c:pt idx="20">
                    <c:v>Aldeana</c:v>
                  </c:pt>
                  <c:pt idx="21">
                    <c:v>BBQ</c:v>
                  </c:pt>
                  <c:pt idx="22">
                    <c:v>Capresa</c:v>
                  </c:pt>
                  <c:pt idx="23">
                    <c:v>Carbonara</c:v>
                  </c:pt>
                  <c:pt idx="24">
                    <c:v>Fatto in Casa</c:v>
                  </c:pt>
                  <c:pt idx="25">
                    <c:v>Hawaiana</c:v>
                  </c:pt>
                  <c:pt idx="26">
                    <c:v>Kapritxos</c:v>
                  </c:pt>
                  <c:pt idx="27">
                    <c:v>Margarita</c:v>
                  </c:pt>
                  <c:pt idx="28">
                    <c:v>Napolitana</c:v>
                  </c:pt>
                  <c:pt idx="29">
                    <c:v>Ragazza</c:v>
                  </c:pt>
                  <c:pt idx="30">
                    <c:v>Sicilana</c:v>
                  </c:pt>
                  <c:pt idx="31">
                    <c:v>Suprema</c:v>
                  </c:pt>
                  <c:pt idx="32">
                    <c:v>Topping</c:v>
                  </c:pt>
                  <c:pt idx="33">
                    <c:v>4 Quesos</c:v>
                  </c:pt>
                  <c:pt idx="34">
                    <c:v>Aldeana</c:v>
                  </c:pt>
                  <c:pt idx="35">
                    <c:v>BBQ</c:v>
                  </c:pt>
                  <c:pt idx="36">
                    <c:v>Capresa</c:v>
                  </c:pt>
                  <c:pt idx="37">
                    <c:v>Carbonara</c:v>
                  </c:pt>
                  <c:pt idx="38">
                    <c:v>Fatto in Casa</c:v>
                  </c:pt>
                  <c:pt idx="39">
                    <c:v>Hawaiana</c:v>
                  </c:pt>
                  <c:pt idx="40">
                    <c:v>Kapritxos</c:v>
                  </c:pt>
                  <c:pt idx="41">
                    <c:v>Margarita</c:v>
                  </c:pt>
                  <c:pt idx="42">
                    <c:v>Napolitana</c:v>
                  </c:pt>
                  <c:pt idx="43">
                    <c:v>Ragazza</c:v>
                  </c:pt>
                  <c:pt idx="44">
                    <c:v>Sicilana</c:v>
                  </c:pt>
                  <c:pt idx="45">
                    <c:v>Suprema</c:v>
                  </c:pt>
                  <c:pt idx="46">
                    <c:v>Topping</c:v>
                  </c:pt>
                  <c:pt idx="47">
                    <c:v>4 Quesos</c:v>
                  </c:pt>
                  <c:pt idx="48">
                    <c:v>Aldeana</c:v>
                  </c:pt>
                  <c:pt idx="49">
                    <c:v>BBQ</c:v>
                  </c:pt>
                  <c:pt idx="50">
                    <c:v>Capresa</c:v>
                  </c:pt>
                  <c:pt idx="51">
                    <c:v>Carbonara</c:v>
                  </c:pt>
                  <c:pt idx="52">
                    <c:v>Fatto in Casa</c:v>
                  </c:pt>
                  <c:pt idx="53">
                    <c:v>Hawaiana</c:v>
                  </c:pt>
                  <c:pt idx="54">
                    <c:v>Kapritxos</c:v>
                  </c:pt>
                  <c:pt idx="55">
                    <c:v>Margarita</c:v>
                  </c:pt>
                  <c:pt idx="56">
                    <c:v>Napolitana</c:v>
                  </c:pt>
                  <c:pt idx="57">
                    <c:v>Ragazza</c:v>
                  </c:pt>
                  <c:pt idx="58">
                    <c:v>Sicilana</c:v>
                  </c:pt>
                  <c:pt idx="59">
                    <c:v>Suprema</c:v>
                  </c:pt>
                  <c:pt idx="60">
                    <c:v>Topping </c:v>
                  </c:pt>
                </c:lvl>
                <c:lvl>
                  <c:pt idx="0">
                    <c:v>Botellas</c:v>
                  </c:pt>
                  <c:pt idx="7">
                    <c:v>Cerveza</c:v>
                  </c:pt>
                  <c:pt idx="11">
                    <c:v>Hamburger</c:v>
                  </c:pt>
                  <c:pt idx="19">
                    <c:v>Pizza Familiar</c:v>
                  </c:pt>
                  <c:pt idx="33">
                    <c:v>Pizza Individual</c:v>
                  </c:pt>
                  <c:pt idx="47">
                    <c:v>Pizza Mediana</c:v>
                  </c:pt>
                </c:lvl>
                <c:lvl>
                  <c:pt idx="0">
                    <c:v>Cerveza</c:v>
                  </c:pt>
                  <c:pt idx="11">
                    <c:v>Hamburger</c:v>
                  </c:pt>
                  <c:pt idx="19">
                    <c:v>Pizza</c:v>
                  </c:pt>
                </c:lvl>
              </c:multiLvlStrCache>
            </c:multiLvlStrRef>
          </c:cat>
          <c:val>
            <c:numRef>
              <c:f>Tablas!$I$7:$I$77</c:f>
              <c:numCache>
                <c:formatCode>#,##0.00</c:formatCode>
                <c:ptCount val="61"/>
                <c:pt idx="0">
                  <c:v>246</c:v>
                </c:pt>
                <c:pt idx="1">
                  <c:v>12</c:v>
                </c:pt>
                <c:pt idx="2">
                  <c:v>126.05</c:v>
                </c:pt>
                <c:pt idx="3">
                  <c:v>45</c:v>
                </c:pt>
                <c:pt idx="4">
                  <c:v>21</c:v>
                </c:pt>
                <c:pt idx="5">
                  <c:v>39</c:v>
                </c:pt>
                <c:pt idx="6">
                  <c:v>50.5</c:v>
                </c:pt>
                <c:pt idx="7">
                  <c:v>618</c:v>
                </c:pt>
                <c:pt idx="8">
                  <c:v>11.5</c:v>
                </c:pt>
                <c:pt idx="9">
                  <c:v>61.1</c:v>
                </c:pt>
                <c:pt idx="10">
                  <c:v>3</c:v>
                </c:pt>
                <c:pt idx="11">
                  <c:v>560</c:v>
                </c:pt>
                <c:pt idx="12">
                  <c:v>150</c:v>
                </c:pt>
                <c:pt idx="13">
                  <c:v>210</c:v>
                </c:pt>
                <c:pt idx="14">
                  <c:v>8</c:v>
                </c:pt>
                <c:pt idx="15">
                  <c:v>420</c:v>
                </c:pt>
                <c:pt idx="16">
                  <c:v>56</c:v>
                </c:pt>
                <c:pt idx="17">
                  <c:v>10</c:v>
                </c:pt>
                <c:pt idx="18">
                  <c:v>6</c:v>
                </c:pt>
                <c:pt idx="19">
                  <c:v>92</c:v>
                </c:pt>
                <c:pt idx="20">
                  <c:v>69</c:v>
                </c:pt>
                <c:pt idx="21">
                  <c:v>229.5</c:v>
                </c:pt>
                <c:pt idx="22">
                  <c:v>25.5</c:v>
                </c:pt>
                <c:pt idx="23">
                  <c:v>102</c:v>
                </c:pt>
                <c:pt idx="24">
                  <c:v>153</c:v>
                </c:pt>
                <c:pt idx="25">
                  <c:v>69</c:v>
                </c:pt>
                <c:pt idx="26">
                  <c:v>178.5</c:v>
                </c:pt>
                <c:pt idx="27">
                  <c:v>288</c:v>
                </c:pt>
                <c:pt idx="28">
                  <c:v>16.5</c:v>
                </c:pt>
                <c:pt idx="29">
                  <c:v>76.5</c:v>
                </c:pt>
                <c:pt idx="30">
                  <c:v>484.5</c:v>
                </c:pt>
                <c:pt idx="31">
                  <c:v>153</c:v>
                </c:pt>
                <c:pt idx="32">
                  <c:v>50</c:v>
                </c:pt>
                <c:pt idx="33">
                  <c:v>93.5</c:v>
                </c:pt>
                <c:pt idx="34">
                  <c:v>22.5</c:v>
                </c:pt>
                <c:pt idx="35">
                  <c:v>102</c:v>
                </c:pt>
                <c:pt idx="36">
                  <c:v>59.5</c:v>
                </c:pt>
                <c:pt idx="37">
                  <c:v>75</c:v>
                </c:pt>
                <c:pt idx="38">
                  <c:v>51</c:v>
                </c:pt>
                <c:pt idx="39">
                  <c:v>30</c:v>
                </c:pt>
                <c:pt idx="40">
                  <c:v>76.5</c:v>
                </c:pt>
                <c:pt idx="41">
                  <c:v>156</c:v>
                </c:pt>
                <c:pt idx="42">
                  <c:v>26</c:v>
                </c:pt>
                <c:pt idx="43">
                  <c:v>34</c:v>
                </c:pt>
                <c:pt idx="44">
                  <c:v>102</c:v>
                </c:pt>
                <c:pt idx="45">
                  <c:v>76.5</c:v>
                </c:pt>
                <c:pt idx="46">
                  <c:v>27</c:v>
                </c:pt>
                <c:pt idx="47">
                  <c:v>315</c:v>
                </c:pt>
                <c:pt idx="48">
                  <c:v>175</c:v>
                </c:pt>
                <c:pt idx="49">
                  <c:v>420</c:v>
                </c:pt>
                <c:pt idx="50">
                  <c:v>140</c:v>
                </c:pt>
                <c:pt idx="51">
                  <c:v>87.5</c:v>
                </c:pt>
                <c:pt idx="52">
                  <c:v>105</c:v>
                </c:pt>
                <c:pt idx="53">
                  <c:v>105</c:v>
                </c:pt>
                <c:pt idx="54">
                  <c:v>350</c:v>
                </c:pt>
                <c:pt idx="55">
                  <c:v>484</c:v>
                </c:pt>
                <c:pt idx="56">
                  <c:v>11.5</c:v>
                </c:pt>
                <c:pt idx="57">
                  <c:v>87.5</c:v>
                </c:pt>
                <c:pt idx="58">
                  <c:v>612.5</c:v>
                </c:pt>
                <c:pt idx="59">
                  <c:v>280</c:v>
                </c:pt>
                <c:pt idx="6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4-495D-B934-C165826F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39384"/>
        <c:axId val="470064336"/>
        <c:axId val="470068432"/>
      </c:area3DChart>
      <c:catAx>
        <c:axId val="46803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0064336"/>
        <c:crosses val="autoZero"/>
        <c:auto val="1"/>
        <c:lblAlgn val="ctr"/>
        <c:lblOffset val="100"/>
        <c:noMultiLvlLbl val="0"/>
      </c:catAx>
      <c:valAx>
        <c:axId val="4700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68039384"/>
        <c:crosses val="autoZero"/>
        <c:crossBetween val="midCat"/>
      </c:valAx>
      <c:serAx>
        <c:axId val="470068432"/>
        <c:scaling>
          <c:orientation val="minMax"/>
        </c:scaling>
        <c:delete val="1"/>
        <c:axPos val="b"/>
        <c:majorTickMark val="out"/>
        <c:minorTickMark val="none"/>
        <c:tickLblPos val="nextTo"/>
        <c:crossAx val="47006433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  <a:r>
              <a:rPr lang="es-ES" baseline="0"/>
              <a:t> por mes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250370246144321E-2"/>
          <c:y val="0.21061538791723527"/>
          <c:w val="0.95117370506917676"/>
          <c:h val="0.6367743822065469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6B-455E-B3E5-4F3C8F45A88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6B-455E-B3E5-4F3C8F45A88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6B-455E-B3E5-4F3C8F45A88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6B-455E-B3E5-4F3C8F45A88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16B-455E-B3E5-4F3C8F45A88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16B-455E-B3E5-4F3C8F45A88A}"/>
                </c:ext>
              </c:extLst>
            </c:dLbl>
            <c:dLbl>
              <c:idx val="1"/>
              <c:layout>
                <c:manualLayout>
                  <c:x val="-0.16202923865554716"/>
                  <c:y val="-0.274544066017201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6B-455E-B3E5-4F3C8F45A88A}"/>
                </c:ext>
              </c:extLst>
            </c:dLbl>
            <c:dLbl>
              <c:idx val="2"/>
              <c:layout>
                <c:manualLayout>
                  <c:x val="0.25314108073647229"/>
                  <c:y val="1.2681376503012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6B-455E-B3E5-4F3C8F45A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'Detalle Mensual'!$A$3:$A$7</c:f>
              <c:strCache>
                <c:ptCount val="5"/>
                <c:pt idx="0">
                  <c:v>Agosto</c:v>
                </c:pt>
                <c:pt idx="1">
                  <c:v>Septiembre</c:v>
                </c:pt>
                <c:pt idx="2">
                  <c:v>Octubre</c:v>
                </c:pt>
                <c:pt idx="3">
                  <c:v>Noviembre</c:v>
                </c:pt>
                <c:pt idx="4">
                  <c:v>Diciembre</c:v>
                </c:pt>
              </c:strCache>
            </c:strRef>
          </c:cat>
          <c:val>
            <c:numRef>
              <c:f>'Detalle Mensual'!$B$3:$B$7</c:f>
              <c:numCache>
                <c:formatCode>"€"#,##0.00_);[Red]\("€"#,##0.00\)</c:formatCode>
                <c:ptCount val="5"/>
                <c:pt idx="0">
                  <c:v>2647.2500000000005</c:v>
                </c:pt>
                <c:pt idx="1">
                  <c:v>3549.25</c:v>
                </c:pt>
                <c:pt idx="2">
                  <c:v>4029.06</c:v>
                </c:pt>
                <c:pt idx="3">
                  <c:v>349.5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6B-455E-B3E5-4F3C8F45A88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714374</xdr:colOff>
      <xdr:row>10</xdr:row>
      <xdr:rowOff>20625</xdr:rowOff>
    </xdr:from>
    <xdr:to>
      <xdr:col>11</xdr:col>
      <xdr:colOff>457199</xdr:colOff>
      <xdr:row>33</xdr:row>
      <xdr:rowOff>85725</xdr:rowOff>
    </xdr:to>
    <xdr:pic>
      <xdr:nvPicPr>
        <xdr:cNvPr id="2" name="1 Imagen" descr="IMG-20190805-WA0033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2374" y="1639875"/>
          <a:ext cx="5076825" cy="3789375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8</xdr:row>
      <xdr:rowOff>28576</xdr:rowOff>
    </xdr:from>
    <xdr:to>
      <xdr:col>13</xdr:col>
      <xdr:colOff>523875</xdr:colOff>
      <xdr:row>11</xdr:row>
      <xdr:rowOff>57151</xdr:rowOff>
    </xdr:to>
    <xdr:sp macro="[0]!Agreg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0" y="1323976"/>
          <a:ext cx="1000125" cy="514350"/>
        </a:xfrm>
        <a:prstGeom prst="roundRect">
          <a:avLst/>
        </a:prstGeom>
        <a:solidFill>
          <a:srgbClr val="FF3300">
            <a:alpha val="85000"/>
          </a:srgbClr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Cargar Ventas o Gastos</a:t>
          </a:r>
        </a:p>
      </xdr:txBody>
    </xdr:sp>
    <xdr:clientData/>
  </xdr:twoCellAnchor>
  <xdr:twoCellAnchor>
    <xdr:from>
      <xdr:col>12</xdr:col>
      <xdr:colOff>285750</xdr:colOff>
      <xdr:row>12</xdr:row>
      <xdr:rowOff>95251</xdr:rowOff>
    </xdr:from>
    <xdr:to>
      <xdr:col>13</xdr:col>
      <xdr:colOff>523875</xdr:colOff>
      <xdr:row>15</xdr:row>
      <xdr:rowOff>123826</xdr:rowOff>
    </xdr:to>
    <xdr:sp macro="[0]!Cuentas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29750" y="2038351"/>
          <a:ext cx="1000125" cy="514350"/>
        </a:xfrm>
        <a:prstGeom prst="roundRect">
          <a:avLst/>
        </a:prstGeom>
        <a:solidFill>
          <a:srgbClr val="FF3300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Movimientos de Cuentas</a:t>
          </a:r>
        </a:p>
      </xdr:txBody>
    </xdr:sp>
    <xdr:clientData/>
  </xdr:twoCellAnchor>
  <xdr:twoCellAnchor>
    <xdr:from>
      <xdr:col>12</xdr:col>
      <xdr:colOff>285750</xdr:colOff>
      <xdr:row>30</xdr:row>
      <xdr:rowOff>142876</xdr:rowOff>
    </xdr:from>
    <xdr:to>
      <xdr:col>13</xdr:col>
      <xdr:colOff>523875</xdr:colOff>
      <xdr:row>34</xdr:row>
      <xdr:rowOff>9526</xdr:rowOff>
    </xdr:to>
    <xdr:sp macro="[0]!Termina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29750" y="5000626"/>
          <a:ext cx="1000125" cy="514350"/>
        </a:xfrm>
        <a:prstGeom prst="roundRect">
          <a:avLst/>
        </a:prstGeom>
        <a:solidFill>
          <a:srgbClr val="FF3300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Salir</a:t>
          </a:r>
        </a:p>
      </xdr:txBody>
    </xdr:sp>
    <xdr:clientData/>
  </xdr:twoCellAnchor>
  <xdr:twoCellAnchor>
    <xdr:from>
      <xdr:col>12</xdr:col>
      <xdr:colOff>285750</xdr:colOff>
      <xdr:row>26</xdr:row>
      <xdr:rowOff>28576</xdr:rowOff>
    </xdr:from>
    <xdr:to>
      <xdr:col>13</xdr:col>
      <xdr:colOff>523875</xdr:colOff>
      <xdr:row>29</xdr:row>
      <xdr:rowOff>57151</xdr:rowOff>
    </xdr:to>
    <xdr:sp macro="[0]!Módulo8.graficos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429750" y="4238626"/>
          <a:ext cx="1000125" cy="514350"/>
        </a:xfrm>
        <a:prstGeom prst="roundRect">
          <a:avLst/>
        </a:prstGeom>
        <a:solidFill>
          <a:srgbClr val="FF3300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Ver  Gráficos</a:t>
          </a:r>
        </a:p>
      </xdr:txBody>
    </xdr:sp>
    <xdr:clientData/>
  </xdr:twoCellAnchor>
  <xdr:twoCellAnchor>
    <xdr:from>
      <xdr:col>12</xdr:col>
      <xdr:colOff>285750</xdr:colOff>
      <xdr:row>21</xdr:row>
      <xdr:rowOff>104776</xdr:rowOff>
    </xdr:from>
    <xdr:to>
      <xdr:col>13</xdr:col>
      <xdr:colOff>523875</xdr:colOff>
      <xdr:row>24</xdr:row>
      <xdr:rowOff>133351</xdr:rowOff>
    </xdr:to>
    <xdr:sp macro="[0]!Access_control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29750" y="3505201"/>
          <a:ext cx="1000125" cy="514350"/>
        </a:xfrm>
        <a:prstGeom prst="roundRect">
          <a:avLst/>
        </a:prstGeom>
        <a:solidFill>
          <a:srgbClr val="FF3300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Modificar entradas</a:t>
          </a:r>
        </a:p>
      </xdr:txBody>
    </xdr:sp>
    <xdr:clientData/>
  </xdr:twoCellAnchor>
  <xdr:twoCellAnchor>
    <xdr:from>
      <xdr:col>12</xdr:col>
      <xdr:colOff>276225</xdr:colOff>
      <xdr:row>17</xdr:row>
      <xdr:rowOff>19051</xdr:rowOff>
    </xdr:from>
    <xdr:to>
      <xdr:col>13</xdr:col>
      <xdr:colOff>514350</xdr:colOff>
      <xdr:row>20</xdr:row>
      <xdr:rowOff>47626</xdr:rowOff>
    </xdr:to>
    <xdr:sp macro="[0]!pagos_pendientes" textlink="">
      <xdr:nvSpPr>
        <xdr:cNvPr id="8" name="4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420225" y="2771776"/>
          <a:ext cx="1000125" cy="514350"/>
        </a:xfrm>
        <a:prstGeom prst="roundRect">
          <a:avLst/>
        </a:prstGeom>
        <a:solidFill>
          <a:srgbClr val="FF3300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0" i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Apartados  para pago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0</xdr:row>
      <xdr:rowOff>76200</xdr:rowOff>
    </xdr:from>
    <xdr:to>
      <xdr:col>12</xdr:col>
      <xdr:colOff>285750</xdr:colOff>
      <xdr:row>25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26</xdr:row>
      <xdr:rowOff>76200</xdr:rowOff>
    </xdr:from>
    <xdr:to>
      <xdr:col>9</xdr:col>
      <xdr:colOff>496357</xdr:colOff>
      <xdr:row>29</xdr:row>
      <xdr:rowOff>87842</xdr:rowOff>
    </xdr:to>
    <xdr:sp macro="[0]!regresar" textlink="">
      <xdr:nvSpPr>
        <xdr:cNvPr id="4" name="Flecha izquierd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457950" y="4286250"/>
          <a:ext cx="867832" cy="497417"/>
        </a:xfrm>
        <a:prstGeom prst="leftArrow">
          <a:avLst/>
        </a:prstGeom>
        <a:solidFill>
          <a:srgbClr val="FF33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ES" sz="1200" b="1">
              <a:solidFill>
                <a:schemeClr val="bg1"/>
              </a:solidFill>
            </a:rPr>
            <a:t>Regresar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69</xdr:row>
      <xdr:rowOff>9525</xdr:rowOff>
    </xdr:from>
    <xdr:to>
      <xdr:col>11</xdr:col>
      <xdr:colOff>600075</xdr:colOff>
      <xdr:row>86</xdr:row>
      <xdr:rowOff>0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76200</xdr:rowOff>
    </xdr:from>
    <xdr:to>
      <xdr:col>1</xdr:col>
      <xdr:colOff>342899</xdr:colOff>
      <xdr:row>0</xdr:row>
      <xdr:rowOff>552450</xdr:rowOff>
    </xdr:to>
    <xdr:sp macro="[0]!CopiarDatos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874" y="76200"/>
          <a:ext cx="962025" cy="4762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bg1"/>
              </a:solidFill>
            </a:rPr>
            <a:t>Copiar Datos</a:t>
          </a:r>
        </a:p>
      </xdr:txBody>
    </xdr:sp>
    <xdr:clientData/>
  </xdr:twoCellAnchor>
  <xdr:twoCellAnchor>
    <xdr:from>
      <xdr:col>1</xdr:col>
      <xdr:colOff>514348</xdr:colOff>
      <xdr:row>0</xdr:row>
      <xdr:rowOff>85725</xdr:rowOff>
    </xdr:from>
    <xdr:to>
      <xdr:col>2</xdr:col>
      <xdr:colOff>685799</xdr:colOff>
      <xdr:row>0</xdr:row>
      <xdr:rowOff>561975</xdr:rowOff>
    </xdr:to>
    <xdr:sp macro="[0]!LimpiarTabla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9223" y="85725"/>
          <a:ext cx="1085851" cy="4762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chemeClr val="bg1"/>
              </a:solidFill>
            </a:rPr>
            <a:t>Limpiar</a:t>
          </a:r>
          <a:r>
            <a:rPr lang="es-ES" sz="1100" b="1" baseline="0">
              <a:solidFill>
                <a:schemeClr val="bg1"/>
              </a:solidFill>
            </a:rPr>
            <a:t> Tabla</a:t>
          </a:r>
          <a:endParaRPr lang="es-E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228599</xdr:colOff>
      <xdr:row>0</xdr:row>
      <xdr:rowOff>85725</xdr:rowOff>
    </xdr:from>
    <xdr:to>
      <xdr:col>11</xdr:col>
      <xdr:colOff>47625</xdr:colOff>
      <xdr:row>26</xdr:row>
      <xdr:rowOff>152400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685800</xdr:colOff>
      <xdr:row>27</xdr:row>
      <xdr:rowOff>114300</xdr:rowOff>
    </xdr:from>
    <xdr:to>
      <xdr:col>10</xdr:col>
      <xdr:colOff>29632</xdr:colOff>
      <xdr:row>30</xdr:row>
      <xdr:rowOff>125942</xdr:rowOff>
    </xdr:to>
    <xdr:sp macro="[0]!regresar" textlink="">
      <xdr:nvSpPr>
        <xdr:cNvPr id="5" name="Flecha izquierda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486650" y="4486275"/>
          <a:ext cx="867832" cy="497417"/>
        </a:xfrm>
        <a:prstGeom prst="leftArrow">
          <a:avLst/>
        </a:prstGeom>
        <a:solidFill>
          <a:srgbClr val="FF33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ES" sz="1200" b="1">
              <a:solidFill>
                <a:schemeClr val="bg1"/>
              </a:solidFill>
            </a:rPr>
            <a:t>Regresar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513291</xdr:colOff>
      <xdr:row>8</xdr:row>
      <xdr:rowOff>21166</xdr:rowOff>
    </xdr:from>
    <xdr:to>
      <xdr:col>12</xdr:col>
      <xdr:colOff>264584</xdr:colOff>
      <xdr:row>25</xdr:row>
      <xdr:rowOff>48687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137583</xdr:colOff>
      <xdr:row>25</xdr:row>
      <xdr:rowOff>148165</xdr:rowOff>
    </xdr:from>
    <xdr:to>
      <xdr:col>5</xdr:col>
      <xdr:colOff>402166</xdr:colOff>
      <xdr:row>43</xdr:row>
      <xdr:rowOff>31748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507999</xdr:colOff>
      <xdr:row>25</xdr:row>
      <xdr:rowOff>148166</xdr:rowOff>
    </xdr:from>
    <xdr:to>
      <xdr:col>12</xdr:col>
      <xdr:colOff>275166</xdr:colOff>
      <xdr:row>43</xdr:row>
      <xdr:rowOff>31749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137583</xdr:colOff>
      <xdr:row>8</xdr:row>
      <xdr:rowOff>10583</xdr:rowOff>
    </xdr:from>
    <xdr:to>
      <xdr:col>5</xdr:col>
      <xdr:colOff>402166</xdr:colOff>
      <xdr:row>25</xdr:row>
      <xdr:rowOff>52916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137584</xdr:colOff>
      <xdr:row>43</xdr:row>
      <xdr:rowOff>125940</xdr:rowOff>
    </xdr:from>
    <xdr:to>
      <xdr:col>5</xdr:col>
      <xdr:colOff>402167</xdr:colOff>
      <xdr:row>61</xdr:row>
      <xdr:rowOff>11640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2</xdr:row>
      <xdr:rowOff>19050</xdr:rowOff>
    </xdr:from>
    <xdr:to>
      <xdr:col>10</xdr:col>
      <xdr:colOff>332682</xdr:colOff>
      <xdr:row>28</xdr:row>
      <xdr:rowOff>152400</xdr:rowOff>
    </xdr:to>
    <xdr:pic>
      <xdr:nvPicPr>
        <xdr:cNvPr id="2" name="1 Imagen" descr="IMG-20190805-WA0033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" y="342900"/>
          <a:ext cx="5819082" cy="434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</xdr:row>
      <xdr:rowOff>157162</xdr:rowOff>
    </xdr:from>
    <xdr:to>
      <xdr:col>11</xdr:col>
      <xdr:colOff>628650</xdr:colOff>
      <xdr:row>14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14</xdr:row>
      <xdr:rowOff>104775</xdr:rowOff>
    </xdr:from>
    <xdr:to>
      <xdr:col>11</xdr:col>
      <xdr:colOff>657225</xdr:colOff>
      <xdr:row>27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686130</xdr:colOff>
      <xdr:row>0</xdr:row>
      <xdr:rowOff>137978</xdr:rowOff>
    </xdr:from>
    <xdr:to>
      <xdr:col>10</xdr:col>
      <xdr:colOff>190500</xdr:colOff>
      <xdr:row>7</xdr:row>
      <xdr:rowOff>137583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ia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39547" y="137979"/>
              <a:ext cx="2552370" cy="870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692414</xdr:colOff>
      <xdr:row>8</xdr:row>
      <xdr:rowOff>10583</xdr:rowOff>
    </xdr:from>
    <xdr:to>
      <xdr:col>10</xdr:col>
      <xdr:colOff>201084</xdr:colOff>
      <xdr:row>15</xdr:row>
      <xdr:rowOff>12567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roducto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5831" y="1280583"/>
              <a:ext cx="2556670" cy="11132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105834</xdr:colOff>
      <xdr:row>19</xdr:row>
      <xdr:rowOff>0</xdr:rowOff>
    </xdr:from>
    <xdr:to>
      <xdr:col>6</xdr:col>
      <xdr:colOff>614495</xdr:colOff>
      <xdr:row>34</xdr:row>
      <xdr:rowOff>63499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702348</xdr:colOff>
      <xdr:row>15</xdr:row>
      <xdr:rowOff>110644</xdr:rowOff>
    </xdr:from>
    <xdr:to>
      <xdr:col>12</xdr:col>
      <xdr:colOff>692426</xdr:colOff>
      <xdr:row>34</xdr:row>
      <xdr:rowOff>74083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84667</xdr:colOff>
      <xdr:row>16</xdr:row>
      <xdr:rowOff>105833</xdr:rowOff>
    </xdr:from>
    <xdr:to>
      <xdr:col>14</xdr:col>
      <xdr:colOff>190499</xdr:colOff>
      <xdr:row>19</xdr:row>
      <xdr:rowOff>127000</xdr:rowOff>
    </xdr:to>
    <xdr:sp macro="[0]!regresar" textlink="">
      <xdr:nvSpPr>
        <xdr:cNvPr id="11" name="Flecha izquierda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9472084" y="2645833"/>
          <a:ext cx="867832" cy="497417"/>
        </a:xfrm>
        <a:prstGeom prst="leftArrow">
          <a:avLst/>
        </a:prstGeom>
        <a:solidFill>
          <a:srgbClr val="FF33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ES" sz="1200" b="1">
              <a:solidFill>
                <a:schemeClr val="bg1"/>
              </a:solidFill>
            </a:rPr>
            <a:t>Regresar</a:t>
          </a:r>
        </a:p>
      </xdr:txBody>
    </xdr:sp>
    <xdr:clientData/>
  </xdr:twoCellAnchor>
  <xdr:twoCellAnchor>
    <xdr:from>
      <xdr:col>0</xdr:col>
      <xdr:colOff>95251</xdr:colOff>
      <xdr:row>0</xdr:row>
      <xdr:rowOff>116415</xdr:rowOff>
    </xdr:from>
    <xdr:to>
      <xdr:col>6</xdr:col>
      <xdr:colOff>613834</xdr:colOff>
      <xdr:row>18</xdr:row>
      <xdr:rowOff>42332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238128</xdr:colOff>
      <xdr:row>0</xdr:row>
      <xdr:rowOff>140072</xdr:rowOff>
    </xdr:from>
    <xdr:to>
      <xdr:col>14</xdr:col>
      <xdr:colOff>433916</xdr:colOff>
      <xdr:row>14</xdr:row>
      <xdr:rowOff>154080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0.30274</cdr:x>
      <cdr:y>0</cdr:y>
    </cdr:from>
    <cdr:to>
      <cdr:x>0.71405</cdr:x>
      <cdr:y>0.09194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81124" y="0"/>
          <a:ext cx="1876425" cy="2522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ES" sz="1100"/>
            <a:t>Total</a:t>
          </a:r>
          <a:r>
            <a:rPr lang="es-ES" sz="1100" baseline="0"/>
            <a:t> Unidades y Total Ventas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0.28836</cdr:x>
      <cdr:y>0.00341</cdr:y>
    </cdr:from>
    <cdr:to>
      <cdr:x>0.72472</cdr:x>
      <cdr:y>0.09535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15508" y="9351"/>
          <a:ext cx="1990725" cy="252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ES" sz="1100"/>
            <a:t>Incidencia sobre Ventas Totales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0.31898</cdr:x>
      <cdr:y>0</cdr:y>
    </cdr:from>
    <cdr:to>
      <cdr:x>0.72104</cdr:x>
      <cdr:y>0.09644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58384" y="0"/>
          <a:ext cx="1838196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/>
            <a:t>Ventas Totales por Categoría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3772.773235995373" createdVersion="5" refreshedVersion="5" minRefreshableVersion="3" recordCount="114" xr:uid="{00000000-000A-0000-FFFF-FFFF00000000}">
  <cacheSource type="worksheet">
    <worksheetSource name="query"/>
  </cacheSource>
  <cacheFields count="5">
    <cacheField name="Categoria1" numFmtId="0">
      <sharedItems count="18">
        <s v="Agua"/>
        <s v="Bolleria"/>
        <s v="Cafe"/>
        <s v="Cerveza"/>
        <s v="Dulces y tartas"/>
        <s v="Hamburger"/>
        <s v="Helados"/>
        <s v="Pan"/>
        <s v="Pasapalos"/>
        <s v="Pasticho"/>
        <s v="Pintxos"/>
        <s v="Pizza"/>
        <s v="Refrescos"/>
        <s v="Te"/>
        <s v="Tragos"/>
        <s v="Vinos"/>
        <s v="Zumos"/>
        <s v="Por Botellas" u="1"/>
      </sharedItems>
    </cacheField>
    <cacheField name="Categoria" numFmtId="0">
      <sharedItems count="21">
        <s v="Agua"/>
        <s v="Bolleria"/>
        <s v="Cafe"/>
        <s v="Botellas"/>
        <s v="Cerveza"/>
        <s v="Dulces y tartas"/>
        <s v="Hamburger"/>
        <s v="Helados"/>
        <s v="Pan"/>
        <s v="Pasapalos"/>
        <s v="Pasticho"/>
        <s v="Pintxos"/>
        <s v="Pizza Mediana"/>
        <s v="Pizza Individual"/>
        <s v="Pizza Familiar"/>
        <s v="Refrescos"/>
        <s v="Te"/>
        <s v="Tragos"/>
        <s v="Vinos"/>
        <s v="Por Botellas"/>
        <s v="Zumos"/>
      </sharedItems>
    </cacheField>
    <cacheField name="Producto" numFmtId="0">
      <sharedItems count="86">
        <s v="Agua Mondariz C/Gas"/>
        <s v="Agua Mineral"/>
        <s v="Croaisant Curvo"/>
        <s v="Solo"/>
        <s v="Cortado"/>
        <s v="Con Leche"/>
        <s v="Cafe en Vaso"/>
        <s v="Colacao"/>
        <s v="Cafe/Llevar"/>
        <s v="Amstel Oro"/>
        <s v="Heineken 0,0"/>
        <s v="Amstel Oro 0,0"/>
        <s v="Rubia 18/70"/>
        <s v="Amstel radler"/>
        <s v="Zurito"/>
        <s v="Caña"/>
        <s v="Estrella Galicia"/>
        <s v="Zurito/Gas"/>
        <s v="Heineken"/>
        <s v="Caña/Gas"/>
        <s v="Triangulo de Cacao"/>
        <s v="Crepe de chcolate"/>
        <s v="Chik-n Crunch"/>
        <s v="Burger Bigger"/>
        <s v="Chik-n Crunch Peke"/>
        <s v="Trio MiniBurger"/>
        <s v="1.Topping"/>
        <s v="2.Topping"/>
        <s v="Burger Kapritxos"/>
        <s v="Clasica"/>
        <s v="Magnun Almendras"/>
        <s v="Cornetto XXL Vain."/>
        <s v="Solero Mango"/>
        <s v="Super Twister"/>
        <s v="Pannier"/>
        <s v="Baguette Plus"/>
        <s v="Patatas chips"/>
        <s v="Pasticho"/>
        <s v="Chiken Finger"/>
        <s v="Pintxo"/>
        <s v="Patatas fritas"/>
        <s v="Palomita Queso"/>
        <s v="Palomita Pollo"/>
        <s v="Rabas"/>
        <s v="Margarita"/>
        <s v="Ragazza"/>
        <s v="Kapritxos"/>
        <s v="Napolitana"/>
        <s v="Aldeana"/>
        <s v="Capresa"/>
        <s v="Suprema"/>
        <s v="Sicilana"/>
        <s v="BBQ"/>
        <s v="Carbonara"/>
        <s v="Hawaiana"/>
        <s v="4 Quesos"/>
        <s v="Topping"/>
        <s v="Topping "/>
        <s v="Fatto in Casa"/>
        <s v="Schwepps Naranja"/>
        <s v="Nestea"/>
        <s v="Mosto"/>
        <s v="Tonica Schweppes"/>
        <s v="Coca Cola Zero lata"/>
        <s v="Coca Cola"/>
        <s v="Coca Cola lata"/>
        <s v="Coca Cola Zero"/>
        <s v="KAS Limon"/>
        <s v="KAS Naranja"/>
        <s v="KAS Bitter "/>
        <s v="Te"/>
        <s v="Gin Tonic"/>
        <s v="Kalimotxo"/>
        <s v="Ladron de manzanas"/>
        <s v="Vitoria Crianza"/>
        <s v="Homenaje Rose"/>
        <s v="Vitoria Rioja"/>
        <s v="Txakoli"/>
        <s v="Nanclares Rueda"/>
        <s v="Nanclares Verdejo"/>
        <s v="Vitoria Blanco"/>
        <s v="Faustino Tinto"/>
        <s v="Granini Ace"/>
        <s v="Granini Melocoton"/>
        <s v="Granini Piña"/>
        <s v="Agua Mondariz 0,3" u="1"/>
      </sharedItems>
    </cacheField>
    <cacheField name="Ventas" numFmtId="0">
      <sharedItems containsSemiMixedTypes="0" containsString="0" containsNumber="1" containsInteger="1" minValue="1" maxValue="309"/>
    </cacheField>
    <cacheField name="Total" numFmtId="4">
      <sharedItems containsSemiMixedTypes="0" containsString="0" containsNumber="1" minValue="1.1000000000000001" maxValue="61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ulio César Calderaro A." refreshedDate="44688.939940509263" createdVersion="3" refreshedVersion="7" minRefreshableVersion="3" recordCount="71" xr:uid="{00000000-000A-0000-FFFF-FFFF0A000000}">
  <cacheSource type="worksheet">
    <worksheetSource name="TablaVentas"/>
  </cacheSource>
  <cacheFields count="3">
    <cacheField name="Monto" numFmtId="0">
      <sharedItems containsSemiMixedTypes="0" containsString="0" containsNumber="1" minValue="9.3000000000000007" maxValue="583.5"/>
    </cacheField>
    <cacheField name="Fecha" numFmtId="0">
      <sharedItems containsDate="1" containsBlank="1" containsMixedTypes="1" minDate="1899-12-31T00:00:00" maxDate="2019-08-12T00:00:00" count="96">
        <s v="02/11/2019"/>
        <s v="01/11/2019"/>
        <s v="31/10/2019"/>
        <s v="30/10/2019"/>
        <s v="29/10/2019"/>
        <s v="27/10/2019"/>
        <s v="26/10/2019"/>
        <s v="25/10/2019"/>
        <s v="24/10/2019"/>
        <s v="23/10/2019"/>
        <s v="22/10/2019"/>
        <s v="20/10/2019"/>
        <s v="19/10/2019"/>
        <s v="18/10/2019"/>
        <s v="17/10/2019"/>
        <s v="16/10/2019"/>
        <s v="15/10/2019"/>
        <s v="13/10/2019"/>
        <s v="12/10/2019"/>
        <s v="11/10/2019"/>
        <d v="2019-08-10T00:00:00"/>
        <s v="08/10/2019"/>
        <s v="06/10/2019"/>
        <d v="2019-10-05T00:00:00"/>
        <s v="04/10/2019"/>
        <s v="03/10/2019"/>
        <s v="02/10/2019"/>
        <s v="01/10/2019"/>
        <s v="29/09/2019"/>
        <s v="28/09/2019"/>
        <s v="27/09/2019"/>
        <s v="26/09/2019"/>
        <s v="25/09/2019"/>
        <s v="24/09/2019"/>
        <s v="22/09/2019"/>
        <s v="21/09/2019"/>
        <s v="20/09/2019"/>
        <s v="19/09/2019"/>
        <s v="18/09/2019"/>
        <s v="17/09/2019"/>
        <s v="15/09/2019"/>
        <s v="14/09/2019"/>
        <s v="13/09/2019"/>
        <s v="12/09/2019"/>
        <s v="11/09/2019"/>
        <s v="10/09/2019"/>
        <s v="08/09/2019"/>
        <s v="07/09/2019"/>
        <s v="06/09/2019"/>
        <s v="05/09/2019"/>
        <s v="04/09/2019"/>
        <s v="03/09/2019"/>
        <s v="02/09/2019"/>
        <s v="01/09/2019"/>
        <s v="31/09/2019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n v="0" u="1"/>
        <m u="1"/>
        <n v="43748" u="1"/>
        <d v="2020-08-30T00:00:00" u="1"/>
        <d v="2019-08-14T00:00:00" u="1"/>
        <s v="10/10/2019" u="1"/>
        <n v="43692" u="1"/>
        <s v="31/08/2019" u="1"/>
        <d v="2020-08-29T00:00:00" u="1"/>
        <n v="43693" u="1"/>
        <d v="2019-08-13T00:00:00" u="1"/>
        <n v="43694" u="1"/>
        <n v="43706" u="1"/>
        <d v="2019-10-10T00:00:00" u="1"/>
        <n v="43695" u="1"/>
        <s v="28/08/2019" u="1"/>
        <n v="43707" u="1"/>
        <n v="43696" u="1"/>
        <n v="43743" u="1"/>
        <d v="2019-08-12T00:00:00" u="1"/>
        <s v="27/08/2019" u="1"/>
        <n v="43697" u="1"/>
        <n v="43698" u="1"/>
        <n v="43699" u="1"/>
        <d v="2019-08-11T00:00:00" u="1"/>
      </sharedItems>
    </cacheField>
    <cacheField name="Mes" numFmtId="0">
      <sharedItems count="4">
        <s v="noviembre"/>
        <s v="octubre"/>
        <s v="septiembre"/>
        <s v="agos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ulio César Calderaro A." refreshedDate="44688.939940509263" createdVersion="3" refreshedVersion="7" minRefreshableVersion="3" recordCount="92" xr:uid="{00000000-000A-0000-FFFF-FFFF06000000}">
  <cacheSource type="worksheet">
    <worksheetSource name="TablaProveedor"/>
  </cacheSource>
  <cacheFields count="4">
    <cacheField name="Proveedor" numFmtId="0">
      <sharedItems count="18">
        <s v="MAKRO"/>
        <s v="BM"/>
        <s v="TUDIS"/>
        <s v="BAZAR LIU"/>
        <s v="DIA"/>
        <s v="URRUTIA"/>
        <s v="MRW"/>
        <s v="CREVILLENTE SL"/>
        <s v="ALCAMPO"/>
        <s v="MERKA KING"/>
        <s v="LICENCIA SYSME"/>
        <s v="360IMPRIMIR"/>
        <s v="FIBRACLIM"/>
        <s v="LEROY MERLIN"/>
        <s v="RECON. LUZ"/>
        <s v="CPU (TPV)"/>
        <s v="COCINA"/>
        <s v="REV. LUZ" u="1"/>
      </sharedItems>
    </cacheField>
    <cacheField name="Monto" numFmtId="4">
      <sharedItems containsSemiMixedTypes="0" containsString="0" containsNumber="1" minValue="1.82" maxValue="902.15"/>
    </cacheField>
    <cacheField name="Fecha" numFmtId="170">
      <sharedItems containsDate="1" containsMixedTypes="1" minDate="2019-07-12T00:00:00" maxDate="2021-08-23T00:00:00"/>
    </cacheField>
    <cacheField name="Mes" numFmtId="0">
      <sharedItems count="5">
        <s v="noviembre"/>
        <s v="octubre"/>
        <s v="septiembre"/>
        <s v="agosto"/>
        <s v="jul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"/>
    <n v="1.1000000000000001"/>
  </r>
  <r>
    <x v="0"/>
    <x v="0"/>
    <x v="1"/>
    <n v="119"/>
    <n v="95.2"/>
  </r>
  <r>
    <x v="1"/>
    <x v="1"/>
    <x v="2"/>
    <n v="3"/>
    <n v="4.5"/>
  </r>
  <r>
    <x v="2"/>
    <x v="2"/>
    <x v="3"/>
    <n v="9"/>
    <n v="11.7"/>
  </r>
  <r>
    <x v="2"/>
    <x v="2"/>
    <x v="4"/>
    <n v="23"/>
    <n v="29.9"/>
  </r>
  <r>
    <x v="2"/>
    <x v="2"/>
    <x v="5"/>
    <n v="37"/>
    <n v="51.8"/>
  </r>
  <r>
    <x v="2"/>
    <x v="2"/>
    <x v="6"/>
    <n v="5"/>
    <n v="8"/>
  </r>
  <r>
    <x v="2"/>
    <x v="2"/>
    <x v="7"/>
    <n v="2"/>
    <n v="3"/>
  </r>
  <r>
    <x v="2"/>
    <x v="2"/>
    <x v="8"/>
    <n v="2"/>
    <n v="3.4"/>
  </r>
  <r>
    <x v="3"/>
    <x v="3"/>
    <x v="9"/>
    <n v="82"/>
    <n v="246"/>
  </r>
  <r>
    <x v="3"/>
    <x v="3"/>
    <x v="10"/>
    <n v="7"/>
    <n v="21"/>
  </r>
  <r>
    <x v="3"/>
    <x v="3"/>
    <x v="11"/>
    <n v="4"/>
    <n v="12"/>
  </r>
  <r>
    <x v="3"/>
    <x v="3"/>
    <x v="12"/>
    <n v="13"/>
    <n v="39"/>
  </r>
  <r>
    <x v="3"/>
    <x v="3"/>
    <x v="13"/>
    <n v="42"/>
    <n v="126.05"/>
  </r>
  <r>
    <x v="3"/>
    <x v="4"/>
    <x v="14"/>
    <n v="47"/>
    <n v="61.1"/>
  </r>
  <r>
    <x v="3"/>
    <x v="4"/>
    <x v="15"/>
    <n v="309"/>
    <n v="618"/>
  </r>
  <r>
    <x v="3"/>
    <x v="3"/>
    <x v="16"/>
    <n v="17"/>
    <n v="50.5"/>
  </r>
  <r>
    <x v="3"/>
    <x v="4"/>
    <x v="17"/>
    <n v="2"/>
    <n v="3"/>
  </r>
  <r>
    <x v="3"/>
    <x v="3"/>
    <x v="18"/>
    <n v="15"/>
    <n v="45"/>
  </r>
  <r>
    <x v="3"/>
    <x v="4"/>
    <x v="19"/>
    <n v="5"/>
    <n v="11.5"/>
  </r>
  <r>
    <x v="4"/>
    <x v="5"/>
    <x v="20"/>
    <n v="17"/>
    <n v="27.6"/>
  </r>
  <r>
    <x v="4"/>
    <x v="5"/>
    <x v="21"/>
    <n v="1"/>
    <n v="2.5"/>
  </r>
  <r>
    <x v="5"/>
    <x v="6"/>
    <x v="22"/>
    <n v="42"/>
    <n v="210"/>
  </r>
  <r>
    <x v="5"/>
    <x v="6"/>
    <x v="23"/>
    <n v="70"/>
    <n v="560"/>
  </r>
  <r>
    <x v="5"/>
    <x v="6"/>
    <x v="24"/>
    <n v="2"/>
    <n v="8"/>
  </r>
  <r>
    <x v="5"/>
    <x v="6"/>
    <x v="25"/>
    <n v="7"/>
    <n v="56"/>
  </r>
  <r>
    <x v="5"/>
    <x v="6"/>
    <x v="26"/>
    <n v="6"/>
    <n v="6"/>
  </r>
  <r>
    <x v="5"/>
    <x v="6"/>
    <x v="27"/>
    <n v="5"/>
    <n v="10"/>
  </r>
  <r>
    <x v="5"/>
    <x v="6"/>
    <x v="28"/>
    <n v="15"/>
    <n v="150"/>
  </r>
  <r>
    <x v="5"/>
    <x v="6"/>
    <x v="29"/>
    <n v="60"/>
    <n v="420"/>
  </r>
  <r>
    <x v="6"/>
    <x v="7"/>
    <x v="30"/>
    <n v="20"/>
    <n v="44"/>
  </r>
  <r>
    <x v="6"/>
    <x v="7"/>
    <x v="31"/>
    <n v="11"/>
    <n v="24.2"/>
  </r>
  <r>
    <x v="6"/>
    <x v="7"/>
    <x v="32"/>
    <n v="4"/>
    <n v="6.8"/>
  </r>
  <r>
    <x v="6"/>
    <x v="7"/>
    <x v="33"/>
    <n v="12"/>
    <n v="16.8"/>
  </r>
  <r>
    <x v="7"/>
    <x v="8"/>
    <x v="34"/>
    <n v="16"/>
    <n v="24"/>
  </r>
  <r>
    <x v="7"/>
    <x v="8"/>
    <x v="35"/>
    <n v="7"/>
    <n v="10.25"/>
  </r>
  <r>
    <x v="8"/>
    <x v="9"/>
    <x v="36"/>
    <n v="7"/>
    <n v="8.4"/>
  </r>
  <r>
    <x v="9"/>
    <x v="10"/>
    <x v="37"/>
    <n v="11"/>
    <n v="110"/>
  </r>
  <r>
    <x v="10"/>
    <x v="11"/>
    <x v="38"/>
    <n v="37"/>
    <n v="148"/>
  </r>
  <r>
    <x v="10"/>
    <x v="11"/>
    <x v="39"/>
    <n v="1"/>
    <n v="1.5"/>
  </r>
  <r>
    <x v="10"/>
    <x v="11"/>
    <x v="40"/>
    <n v="11"/>
    <n v="33"/>
  </r>
  <r>
    <x v="10"/>
    <x v="11"/>
    <x v="41"/>
    <n v="26"/>
    <n v="78"/>
  </r>
  <r>
    <x v="10"/>
    <x v="11"/>
    <x v="42"/>
    <n v="24"/>
    <n v="77"/>
  </r>
  <r>
    <x v="10"/>
    <x v="11"/>
    <x v="43"/>
    <n v="5"/>
    <n v="30"/>
  </r>
  <r>
    <x v="11"/>
    <x v="12"/>
    <x v="44"/>
    <n v="44"/>
    <n v="484"/>
  </r>
  <r>
    <x v="11"/>
    <x v="13"/>
    <x v="45"/>
    <n v="4"/>
    <n v="34"/>
  </r>
  <r>
    <x v="11"/>
    <x v="13"/>
    <x v="46"/>
    <n v="9"/>
    <n v="76.5"/>
  </r>
  <r>
    <x v="11"/>
    <x v="14"/>
    <x v="47"/>
    <n v="1"/>
    <n v="16.5"/>
  </r>
  <r>
    <x v="11"/>
    <x v="14"/>
    <x v="44"/>
    <n v="18"/>
    <n v="288"/>
  </r>
  <r>
    <x v="11"/>
    <x v="13"/>
    <x v="48"/>
    <n v="3"/>
    <n v="22.5"/>
  </r>
  <r>
    <x v="11"/>
    <x v="13"/>
    <x v="49"/>
    <n v="7"/>
    <n v="59.5"/>
  </r>
  <r>
    <x v="11"/>
    <x v="13"/>
    <x v="50"/>
    <n v="9"/>
    <n v="76.5"/>
  </r>
  <r>
    <x v="11"/>
    <x v="13"/>
    <x v="51"/>
    <n v="12"/>
    <n v="102"/>
  </r>
  <r>
    <x v="11"/>
    <x v="13"/>
    <x v="52"/>
    <n v="12"/>
    <n v="102"/>
  </r>
  <r>
    <x v="11"/>
    <x v="13"/>
    <x v="53"/>
    <n v="10"/>
    <n v="75"/>
  </r>
  <r>
    <x v="11"/>
    <x v="13"/>
    <x v="54"/>
    <n v="4"/>
    <n v="30"/>
  </r>
  <r>
    <x v="11"/>
    <x v="14"/>
    <x v="55"/>
    <n v="4"/>
    <n v="92"/>
  </r>
  <r>
    <x v="11"/>
    <x v="14"/>
    <x v="45"/>
    <n v="3"/>
    <n v="76.5"/>
  </r>
  <r>
    <x v="11"/>
    <x v="14"/>
    <x v="46"/>
    <n v="7"/>
    <n v="178.5"/>
  </r>
  <r>
    <x v="11"/>
    <x v="14"/>
    <x v="52"/>
    <n v="9"/>
    <n v="229.5"/>
  </r>
  <r>
    <x v="11"/>
    <x v="14"/>
    <x v="56"/>
    <n v="20"/>
    <n v="50"/>
  </r>
  <r>
    <x v="11"/>
    <x v="12"/>
    <x v="57"/>
    <n v="33"/>
    <n v="66"/>
  </r>
  <r>
    <x v="11"/>
    <x v="14"/>
    <x v="48"/>
    <n v="3"/>
    <n v="69"/>
  </r>
  <r>
    <x v="11"/>
    <x v="14"/>
    <x v="50"/>
    <n v="6"/>
    <n v="153"/>
  </r>
  <r>
    <x v="11"/>
    <x v="14"/>
    <x v="51"/>
    <n v="19"/>
    <n v="484.5"/>
  </r>
  <r>
    <x v="11"/>
    <x v="14"/>
    <x v="58"/>
    <n v="6"/>
    <n v="153"/>
  </r>
  <r>
    <x v="11"/>
    <x v="14"/>
    <x v="53"/>
    <n v="4"/>
    <n v="102"/>
  </r>
  <r>
    <x v="11"/>
    <x v="14"/>
    <x v="54"/>
    <n v="3"/>
    <n v="69"/>
  </r>
  <r>
    <x v="11"/>
    <x v="14"/>
    <x v="49"/>
    <n v="1"/>
    <n v="25.5"/>
  </r>
  <r>
    <x v="11"/>
    <x v="12"/>
    <x v="49"/>
    <n v="8"/>
    <n v="140"/>
  </r>
  <r>
    <x v="11"/>
    <x v="13"/>
    <x v="44"/>
    <n v="26"/>
    <n v="156"/>
  </r>
  <r>
    <x v="11"/>
    <x v="12"/>
    <x v="54"/>
    <n v="6"/>
    <n v="105"/>
  </r>
  <r>
    <x v="11"/>
    <x v="13"/>
    <x v="56"/>
    <n v="18"/>
    <n v="27"/>
  </r>
  <r>
    <x v="11"/>
    <x v="12"/>
    <x v="48"/>
    <n v="10"/>
    <n v="175"/>
  </r>
  <r>
    <x v="11"/>
    <x v="12"/>
    <x v="52"/>
    <n v="24"/>
    <n v="420"/>
  </r>
  <r>
    <x v="11"/>
    <x v="12"/>
    <x v="53"/>
    <n v="5"/>
    <n v="87.5"/>
  </r>
  <r>
    <x v="11"/>
    <x v="12"/>
    <x v="45"/>
    <n v="5"/>
    <n v="87.5"/>
  </r>
  <r>
    <x v="11"/>
    <x v="12"/>
    <x v="46"/>
    <n v="20"/>
    <n v="350"/>
  </r>
  <r>
    <x v="11"/>
    <x v="13"/>
    <x v="47"/>
    <n v="4"/>
    <n v="26"/>
  </r>
  <r>
    <x v="11"/>
    <x v="12"/>
    <x v="58"/>
    <n v="6"/>
    <n v="105"/>
  </r>
  <r>
    <x v="11"/>
    <x v="12"/>
    <x v="55"/>
    <n v="18"/>
    <n v="315"/>
  </r>
  <r>
    <x v="11"/>
    <x v="12"/>
    <x v="50"/>
    <n v="16"/>
    <n v="280"/>
  </r>
  <r>
    <x v="11"/>
    <x v="12"/>
    <x v="51"/>
    <n v="35"/>
    <n v="612.5"/>
  </r>
  <r>
    <x v="11"/>
    <x v="12"/>
    <x v="47"/>
    <n v="1"/>
    <n v="11.5"/>
  </r>
  <r>
    <x v="11"/>
    <x v="13"/>
    <x v="55"/>
    <n v="11"/>
    <n v="93.5"/>
  </r>
  <r>
    <x v="11"/>
    <x v="13"/>
    <x v="58"/>
    <n v="6"/>
    <n v="51"/>
  </r>
  <r>
    <x v="12"/>
    <x v="15"/>
    <x v="59"/>
    <n v="7"/>
    <n v="14"/>
  </r>
  <r>
    <x v="12"/>
    <x v="15"/>
    <x v="60"/>
    <n v="20"/>
    <n v="50"/>
  </r>
  <r>
    <x v="12"/>
    <x v="15"/>
    <x v="61"/>
    <n v="15"/>
    <n v="14.5"/>
  </r>
  <r>
    <x v="12"/>
    <x v="15"/>
    <x v="62"/>
    <n v="5"/>
    <n v="9.5"/>
  </r>
  <r>
    <x v="12"/>
    <x v="15"/>
    <x v="63"/>
    <n v="3"/>
    <n v="6.9"/>
  </r>
  <r>
    <x v="12"/>
    <x v="15"/>
    <x v="64"/>
    <n v="55"/>
    <n v="107.5"/>
  </r>
  <r>
    <x v="12"/>
    <x v="15"/>
    <x v="65"/>
    <n v="46"/>
    <n v="105.8"/>
  </r>
  <r>
    <x v="12"/>
    <x v="15"/>
    <x v="66"/>
    <n v="23"/>
    <n v="44.5"/>
  </r>
  <r>
    <x v="12"/>
    <x v="15"/>
    <x v="67"/>
    <n v="14"/>
    <n v="28"/>
  </r>
  <r>
    <x v="12"/>
    <x v="15"/>
    <x v="68"/>
    <n v="23"/>
    <n v="46"/>
  </r>
  <r>
    <x v="12"/>
    <x v="15"/>
    <x v="69"/>
    <n v="3"/>
    <n v="6.9"/>
  </r>
  <r>
    <x v="13"/>
    <x v="16"/>
    <x v="70"/>
    <n v="5"/>
    <n v="8"/>
  </r>
  <r>
    <x v="14"/>
    <x v="17"/>
    <x v="71"/>
    <n v="10"/>
    <n v="60"/>
  </r>
  <r>
    <x v="14"/>
    <x v="17"/>
    <x v="72"/>
    <n v="10"/>
    <n v="26.5"/>
  </r>
  <r>
    <x v="15"/>
    <x v="18"/>
    <x v="73"/>
    <n v="6"/>
    <n v="18"/>
  </r>
  <r>
    <x v="15"/>
    <x v="19"/>
    <x v="74"/>
    <n v="5"/>
    <n v="50"/>
  </r>
  <r>
    <x v="15"/>
    <x v="18"/>
    <x v="75"/>
    <n v="2"/>
    <n v="2.6"/>
  </r>
  <r>
    <x v="15"/>
    <x v="18"/>
    <x v="76"/>
    <n v="30"/>
    <n v="48"/>
  </r>
  <r>
    <x v="15"/>
    <x v="18"/>
    <x v="77"/>
    <n v="11"/>
    <n v="19.8"/>
  </r>
  <r>
    <x v="15"/>
    <x v="18"/>
    <x v="78"/>
    <n v="6"/>
    <n v="7.8"/>
  </r>
  <r>
    <x v="15"/>
    <x v="18"/>
    <x v="79"/>
    <n v="26"/>
    <n v="41.6"/>
  </r>
  <r>
    <x v="15"/>
    <x v="18"/>
    <x v="80"/>
    <n v="17"/>
    <n v="25.5"/>
  </r>
  <r>
    <x v="15"/>
    <x v="19"/>
    <x v="78"/>
    <n v="2"/>
    <n v="16.899999999999999"/>
  </r>
  <r>
    <x v="15"/>
    <x v="19"/>
    <x v="79"/>
    <n v="2"/>
    <n v="17"/>
  </r>
  <r>
    <x v="15"/>
    <x v="18"/>
    <x v="81"/>
    <n v="4"/>
    <n v="6"/>
  </r>
  <r>
    <x v="16"/>
    <x v="20"/>
    <x v="82"/>
    <n v="5"/>
    <n v="12.5"/>
  </r>
  <r>
    <x v="16"/>
    <x v="20"/>
    <x v="83"/>
    <n v="4"/>
    <n v="10"/>
  </r>
  <r>
    <x v="16"/>
    <x v="20"/>
    <x v="84"/>
    <n v="1"/>
    <n v="2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n v="204.4"/>
    <x v="0"/>
    <x v="0"/>
  </r>
  <r>
    <n v="145.1"/>
    <x v="1"/>
    <x v="0"/>
  </r>
  <r>
    <n v="583.5"/>
    <x v="2"/>
    <x v="1"/>
  </r>
  <r>
    <n v="77.2"/>
    <x v="3"/>
    <x v="1"/>
  </r>
  <r>
    <n v="132.5"/>
    <x v="4"/>
    <x v="1"/>
  </r>
  <r>
    <n v="76.900000000000006"/>
    <x v="5"/>
    <x v="1"/>
  </r>
  <r>
    <n v="296.2"/>
    <x v="6"/>
    <x v="1"/>
  </r>
  <r>
    <n v="110.5"/>
    <x v="7"/>
    <x v="1"/>
  </r>
  <r>
    <n v="43.1"/>
    <x v="8"/>
    <x v="1"/>
  </r>
  <r>
    <n v="109.9"/>
    <x v="9"/>
    <x v="1"/>
  </r>
  <r>
    <n v="25.4"/>
    <x v="10"/>
    <x v="1"/>
  </r>
  <r>
    <n v="101.5"/>
    <x v="11"/>
    <x v="1"/>
  </r>
  <r>
    <n v="278.60000000000002"/>
    <x v="12"/>
    <x v="1"/>
  </r>
  <r>
    <n v="225.89"/>
    <x v="13"/>
    <x v="1"/>
  </r>
  <r>
    <n v="36.79"/>
    <x v="14"/>
    <x v="1"/>
  </r>
  <r>
    <n v="75.5"/>
    <x v="15"/>
    <x v="1"/>
  </r>
  <r>
    <n v="38"/>
    <x v="16"/>
    <x v="1"/>
  </r>
  <r>
    <n v="195"/>
    <x v="17"/>
    <x v="1"/>
  </r>
  <r>
    <n v="219.69"/>
    <x v="18"/>
    <x v="1"/>
  </r>
  <r>
    <n v="125.5"/>
    <x v="19"/>
    <x v="1"/>
  </r>
  <r>
    <n v="142.6"/>
    <x v="20"/>
    <x v="1"/>
  </r>
  <r>
    <n v="54"/>
    <x v="21"/>
    <x v="1"/>
  </r>
  <r>
    <n v="144.5"/>
    <x v="22"/>
    <x v="1"/>
  </r>
  <r>
    <n v="439.6"/>
    <x v="23"/>
    <x v="1"/>
  </r>
  <r>
    <n v="265.49"/>
    <x v="24"/>
    <x v="1"/>
  </r>
  <r>
    <n v="55.9"/>
    <x v="25"/>
    <x v="1"/>
  </r>
  <r>
    <n v="128.4"/>
    <x v="26"/>
    <x v="1"/>
  </r>
  <r>
    <n v="46.9"/>
    <x v="27"/>
    <x v="1"/>
  </r>
  <r>
    <n v="255.8"/>
    <x v="28"/>
    <x v="2"/>
  </r>
  <r>
    <n v="159.4"/>
    <x v="29"/>
    <x v="2"/>
  </r>
  <r>
    <n v="265.7"/>
    <x v="30"/>
    <x v="2"/>
  </r>
  <r>
    <n v="16"/>
    <x v="31"/>
    <x v="2"/>
  </r>
  <r>
    <n v="92.5"/>
    <x v="32"/>
    <x v="2"/>
  </r>
  <r>
    <n v="9.3000000000000007"/>
    <x v="33"/>
    <x v="2"/>
  </r>
  <r>
    <n v="70.8"/>
    <x v="34"/>
    <x v="2"/>
  </r>
  <r>
    <n v="252.7"/>
    <x v="35"/>
    <x v="2"/>
  </r>
  <r>
    <n v="175.1"/>
    <x v="36"/>
    <x v="2"/>
  </r>
  <r>
    <n v="105.6"/>
    <x v="37"/>
    <x v="2"/>
  </r>
  <r>
    <n v="103.8"/>
    <x v="38"/>
    <x v="2"/>
  </r>
  <r>
    <n v="77.900000000000006"/>
    <x v="39"/>
    <x v="2"/>
  </r>
  <r>
    <n v="130.65"/>
    <x v="40"/>
    <x v="2"/>
  </r>
  <r>
    <n v="246.5"/>
    <x v="41"/>
    <x v="2"/>
  </r>
  <r>
    <n v="297.2"/>
    <x v="42"/>
    <x v="2"/>
  </r>
  <r>
    <n v="32.1"/>
    <x v="43"/>
    <x v="2"/>
  </r>
  <r>
    <n v="164.4"/>
    <x v="44"/>
    <x v="2"/>
  </r>
  <r>
    <n v="12.1"/>
    <x v="45"/>
    <x v="2"/>
  </r>
  <r>
    <n v="33.299999999999997"/>
    <x v="46"/>
    <x v="2"/>
  </r>
  <r>
    <n v="275.39999999999998"/>
    <x v="47"/>
    <x v="2"/>
  </r>
  <r>
    <n v="267.8"/>
    <x v="48"/>
    <x v="2"/>
  </r>
  <r>
    <n v="108"/>
    <x v="49"/>
    <x v="2"/>
  </r>
  <r>
    <n v="74"/>
    <x v="50"/>
    <x v="2"/>
  </r>
  <r>
    <n v="46"/>
    <x v="51"/>
    <x v="2"/>
  </r>
  <r>
    <n v="17.5"/>
    <x v="52"/>
    <x v="2"/>
  </r>
  <r>
    <n v="259.7"/>
    <x v="53"/>
    <x v="2"/>
  </r>
  <r>
    <n v="215.7"/>
    <x v="54"/>
    <x v="3"/>
  </r>
  <r>
    <n v="131.6"/>
    <x v="55"/>
    <x v="3"/>
  </r>
  <r>
    <n v="179.2"/>
    <x v="56"/>
    <x v="3"/>
  </r>
  <r>
    <n v="201.3"/>
    <x v="57"/>
    <x v="3"/>
  </r>
  <r>
    <n v="81"/>
    <x v="58"/>
    <x v="3"/>
  </r>
  <r>
    <n v="51"/>
    <x v="59"/>
    <x v="3"/>
  </r>
  <r>
    <n v="254.1"/>
    <x v="60"/>
    <x v="3"/>
  </r>
  <r>
    <n v="109.7"/>
    <x v="61"/>
    <x v="3"/>
  </r>
  <r>
    <n v="103.1"/>
    <x v="62"/>
    <x v="3"/>
  </r>
  <r>
    <n v="47.4"/>
    <x v="63"/>
    <x v="3"/>
  </r>
  <r>
    <n v="217.5"/>
    <x v="64"/>
    <x v="3"/>
  </r>
  <r>
    <n v="120.5"/>
    <x v="65"/>
    <x v="3"/>
  </r>
  <r>
    <n v="35"/>
    <x v="66"/>
    <x v="3"/>
  </r>
  <r>
    <n v="189.9"/>
    <x v="67"/>
    <x v="3"/>
  </r>
  <r>
    <n v="103.7"/>
    <x v="68"/>
    <x v="3"/>
  </r>
  <r>
    <n v="133.4"/>
    <x v="69"/>
    <x v="3"/>
  </r>
  <r>
    <n v="50.9"/>
    <x v="70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n v="176.05"/>
    <s v="02/11/2019"/>
    <x v="0"/>
  </r>
  <r>
    <x v="1"/>
    <n v="3.6"/>
    <s v="31/10/2019"/>
    <x v="1"/>
  </r>
  <r>
    <x v="0"/>
    <n v="60.49"/>
    <s v="31/10/2019"/>
    <x v="1"/>
  </r>
  <r>
    <x v="2"/>
    <n v="340.14"/>
    <s v="30/10/2019"/>
    <x v="1"/>
  </r>
  <r>
    <x v="3"/>
    <n v="16.2"/>
    <s v="30/10/2019"/>
    <x v="1"/>
  </r>
  <r>
    <x v="4"/>
    <n v="8.36"/>
    <s v="29/10/2019"/>
    <x v="1"/>
  </r>
  <r>
    <x v="1"/>
    <n v="4.37"/>
    <s v="26/10/2019"/>
    <x v="1"/>
  </r>
  <r>
    <x v="1"/>
    <n v="7.7"/>
    <s v="25/10/2019"/>
    <x v="1"/>
  </r>
  <r>
    <x v="3"/>
    <n v="5.0999999999999996"/>
    <s v="25/10/2019"/>
    <x v="1"/>
  </r>
  <r>
    <x v="4"/>
    <n v="3.91"/>
    <s v="25/10/2019"/>
    <x v="1"/>
  </r>
  <r>
    <x v="0"/>
    <n v="124.97"/>
    <s v="23/10/2019"/>
    <x v="1"/>
  </r>
  <r>
    <x v="5"/>
    <n v="103.09"/>
    <d v="2019-10-22T00:00:00"/>
    <x v="1"/>
  </r>
  <r>
    <x v="0"/>
    <n v="54.840000152587891"/>
    <s v="18/10/2019"/>
    <x v="1"/>
  </r>
  <r>
    <x v="4"/>
    <n v="2.9000000953674316"/>
    <s v="16/10/2019"/>
    <x v="1"/>
  </r>
  <r>
    <x v="1"/>
    <n v="2.2200000286102295"/>
    <s v="16/10/2019"/>
    <x v="1"/>
  </r>
  <r>
    <x v="1"/>
    <n v="4.6599998474121094"/>
    <s v="11/10/2019"/>
    <x v="1"/>
  </r>
  <r>
    <x v="0"/>
    <n v="114.52999877929688"/>
    <s v="11/10/2019"/>
    <x v="1"/>
  </r>
  <r>
    <x v="6"/>
    <n v="18"/>
    <s v="08/10/2019"/>
    <x v="1"/>
  </r>
  <r>
    <x v="1"/>
    <n v="6.33"/>
    <s v="08/10/2019"/>
    <x v="1"/>
  </r>
  <r>
    <x v="4"/>
    <n v="8.43"/>
    <s v="08/10/2019"/>
    <x v="1"/>
  </r>
  <r>
    <x v="1"/>
    <n v="6.67"/>
    <s v="05/10/2019"/>
    <x v="1"/>
  </r>
  <r>
    <x v="0"/>
    <n v="75.75"/>
    <d v="2019-10-04T00:00:00"/>
    <x v="1"/>
  </r>
  <r>
    <x v="4"/>
    <n v="8.82"/>
    <s v="01/10/2019"/>
    <x v="1"/>
  </r>
  <r>
    <x v="3"/>
    <n v="40"/>
    <s v="01/10/2019"/>
    <x v="1"/>
  </r>
  <r>
    <x v="2"/>
    <n v="340.9"/>
    <s v="30/09/2019"/>
    <x v="2"/>
  </r>
  <r>
    <x v="4"/>
    <n v="15.6"/>
    <s v="28/09/2019"/>
    <x v="2"/>
  </r>
  <r>
    <x v="3"/>
    <n v="3.92"/>
    <s v="28/09/2019"/>
    <x v="2"/>
  </r>
  <r>
    <x v="0"/>
    <n v="163.04"/>
    <s v="28/09/2019"/>
    <x v="2"/>
  </r>
  <r>
    <x v="1"/>
    <n v="4"/>
    <s v="26/09/2019"/>
    <x v="2"/>
  </r>
  <r>
    <x v="4"/>
    <n v="2.2000000000000002"/>
    <s v="26/09/2019"/>
    <x v="2"/>
  </r>
  <r>
    <x v="4"/>
    <n v="2.8"/>
    <s v="25/09/2019"/>
    <x v="2"/>
  </r>
  <r>
    <x v="1"/>
    <n v="3.14"/>
    <s v="24/09/2019"/>
    <x v="2"/>
  </r>
  <r>
    <x v="1"/>
    <n v="3.8"/>
    <s v="24/09/2019"/>
    <x v="2"/>
  </r>
  <r>
    <x v="5"/>
    <n v="149.08000000000001"/>
    <s v="24/09/2019"/>
    <x v="2"/>
  </r>
  <r>
    <x v="1"/>
    <n v="1.82"/>
    <s v="20/09/2019"/>
    <x v="2"/>
  </r>
  <r>
    <x v="0"/>
    <n v="101.02"/>
    <s v="20/09/2019"/>
    <x v="2"/>
  </r>
  <r>
    <x v="1"/>
    <n v="6"/>
    <s v="18/09/2019"/>
    <x v="2"/>
  </r>
  <r>
    <x v="5"/>
    <n v="33.32"/>
    <s v="17/09/2019"/>
    <x v="2"/>
  </r>
  <r>
    <x v="2"/>
    <n v="103.94"/>
    <s v="16/09/2019"/>
    <x v="2"/>
  </r>
  <r>
    <x v="4"/>
    <n v="3.44"/>
    <s v="14/09/2019"/>
    <x v="2"/>
  </r>
  <r>
    <x v="0"/>
    <n v="78.03"/>
    <s v="14/09/2019"/>
    <x v="2"/>
  </r>
  <r>
    <x v="0"/>
    <n v="32.25"/>
    <s v="13/09/2019"/>
    <x v="2"/>
  </r>
  <r>
    <x v="0"/>
    <n v="144.18"/>
    <s v="12/09/2019"/>
    <x v="2"/>
  </r>
  <r>
    <x v="4"/>
    <n v="4.7300000000000004"/>
    <s v="12/09/2019"/>
    <x v="2"/>
  </r>
  <r>
    <x v="1"/>
    <n v="2.95"/>
    <s v="12/09/2019"/>
    <x v="2"/>
  </r>
  <r>
    <x v="5"/>
    <n v="103.09"/>
    <s v="03/09/2019"/>
    <x v="2"/>
  </r>
  <r>
    <x v="7"/>
    <n v="116"/>
    <s v="03/09/2019"/>
    <x v="2"/>
  </r>
  <r>
    <x v="8"/>
    <n v="6.05"/>
    <s v="31/08/2019"/>
    <x v="3"/>
  </r>
  <r>
    <x v="9"/>
    <n v="19"/>
    <s v="31/08/2019"/>
    <x v="3"/>
  </r>
  <r>
    <x v="0"/>
    <n v="21.25"/>
    <s v="31/08/2019"/>
    <x v="3"/>
  </r>
  <r>
    <x v="7"/>
    <n v="44.84"/>
    <s v="31/08/2019"/>
    <x v="3"/>
  </r>
  <r>
    <x v="2"/>
    <n v="308.14"/>
    <s v="30/08/2019"/>
    <x v="3"/>
  </r>
  <r>
    <x v="3"/>
    <n v="7.04"/>
    <s v="30/08/2019"/>
    <x v="3"/>
  </r>
  <r>
    <x v="0"/>
    <n v="79.47"/>
    <s v="29/08/2019"/>
    <x v="3"/>
  </r>
  <r>
    <x v="1"/>
    <n v="13.57"/>
    <s v="28/08/2019"/>
    <x v="3"/>
  </r>
  <r>
    <x v="0"/>
    <n v="302"/>
    <s v="29/08/2019"/>
    <x v="3"/>
  </r>
  <r>
    <x v="0"/>
    <n v="82.94"/>
    <s v="29/08/2019"/>
    <x v="3"/>
  </r>
  <r>
    <x v="5"/>
    <n v="674.36"/>
    <s v="28/08/2019"/>
    <x v="3"/>
  </r>
  <r>
    <x v="3"/>
    <n v="12.45"/>
    <d v="2019-08-23T00:00:00"/>
    <x v="3"/>
  </r>
  <r>
    <x v="10"/>
    <n v="47.19"/>
    <d v="2021-08-22T00:00:00"/>
    <x v="3"/>
  </r>
  <r>
    <x v="0"/>
    <n v="52.65"/>
    <d v="2019-08-22T00:00:00"/>
    <x v="3"/>
  </r>
  <r>
    <x v="0"/>
    <n v="71.180000000000007"/>
    <d v="2019-08-21T00:00:00"/>
    <x v="3"/>
  </r>
  <r>
    <x v="3"/>
    <n v="8.1999999999999993"/>
    <d v="2019-08-19T00:00:00"/>
    <x v="3"/>
  </r>
  <r>
    <x v="0"/>
    <n v="61.17"/>
    <d v="2019-08-19T00:00:00"/>
    <x v="3"/>
  </r>
  <r>
    <x v="0"/>
    <n v="31.02"/>
    <d v="2019-08-17T00:00:00"/>
    <x v="3"/>
  </r>
  <r>
    <x v="3"/>
    <n v="32.4"/>
    <d v="2019-08-14T00:00:00"/>
    <x v="3"/>
  </r>
  <r>
    <x v="0"/>
    <n v="57.44"/>
    <d v="2019-08-14T00:00:00"/>
    <x v="3"/>
  </r>
  <r>
    <x v="0"/>
    <n v="162.85"/>
    <d v="2019-08-10T00:00:00"/>
    <x v="3"/>
  </r>
  <r>
    <x v="3"/>
    <n v="41.65"/>
    <d v="2019-08-10T00:00:00"/>
    <x v="3"/>
  </r>
  <r>
    <x v="3"/>
    <n v="25.25"/>
    <d v="2019-08-10T00:00:00"/>
    <x v="3"/>
  </r>
  <r>
    <x v="1"/>
    <n v="8.99"/>
    <d v="2019-08-09T00:00:00"/>
    <x v="3"/>
  </r>
  <r>
    <x v="9"/>
    <n v="11.35"/>
    <d v="2019-08-09T00:00:00"/>
    <x v="3"/>
  </r>
  <r>
    <x v="0"/>
    <n v="10.15"/>
    <d v="2019-08-08T00:00:00"/>
    <x v="3"/>
  </r>
  <r>
    <x v="0"/>
    <n v="92.29"/>
    <d v="2019-08-08T00:00:00"/>
    <x v="3"/>
  </r>
  <r>
    <x v="11"/>
    <n v="130.16"/>
    <d v="2020-08-08T00:00:00"/>
    <x v="3"/>
  </r>
  <r>
    <x v="3"/>
    <n v="18.8"/>
    <d v="2019-08-05T00:00:00"/>
    <x v="3"/>
  </r>
  <r>
    <x v="12"/>
    <n v="285.18"/>
    <d v="2019-08-04T00:00:00"/>
    <x v="3"/>
  </r>
  <r>
    <x v="0"/>
    <n v="351.58"/>
    <d v="2019-08-03T00:00:00"/>
    <x v="3"/>
  </r>
  <r>
    <x v="13"/>
    <n v="89.18"/>
    <d v="2019-08-03T00:00:00"/>
    <x v="3"/>
  </r>
  <r>
    <x v="0"/>
    <n v="60.9"/>
    <d v="2019-08-03T00:00:00"/>
    <x v="3"/>
  </r>
  <r>
    <x v="3"/>
    <n v="7.55"/>
    <d v="2019-08-03T00:00:00"/>
    <x v="3"/>
  </r>
  <r>
    <x v="5"/>
    <n v="674.36"/>
    <d v="2019-08-01T00:00:00"/>
    <x v="3"/>
  </r>
  <r>
    <x v="14"/>
    <n v="368.58"/>
    <d v="2019-07-21T00:00:00"/>
    <x v="4"/>
  </r>
  <r>
    <x v="15"/>
    <n v="471.79"/>
    <d v="2019-07-20T00:00:00"/>
    <x v="4"/>
  </r>
  <r>
    <x v="1"/>
    <n v="4.5599999999999996"/>
    <d v="2019-07-19T00:00:00"/>
    <x v="4"/>
  </r>
  <r>
    <x v="13"/>
    <n v="119.53"/>
    <d v="2019-07-18T00:00:00"/>
    <x v="4"/>
  </r>
  <r>
    <x v="12"/>
    <n v="902.15"/>
    <d v="2019-07-17T00:00:00"/>
    <x v="4"/>
  </r>
  <r>
    <x v="0"/>
    <n v="117.78"/>
    <d v="2019-07-16T00:00:00"/>
    <x v="4"/>
  </r>
  <r>
    <x v="16"/>
    <n v="235"/>
    <d v="2019-07-15T00:00:00"/>
    <x v="4"/>
  </r>
  <r>
    <x v="0"/>
    <n v="368.69"/>
    <d v="2019-07-14T00:00:00"/>
    <x v="4"/>
  </r>
  <r>
    <x v="3"/>
    <n v="4.3499999999999996"/>
    <d v="2019-07-13T00:00:00"/>
    <x v="4"/>
  </r>
  <r>
    <x v="3"/>
    <n v="3"/>
    <d v="2019-07-12T00:00: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5" cacheId="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outline="1" outlineData="1" multipleFieldFilters="0" chartFormat="10">
  <location ref="A3:B6" firstHeaderRow="1" firstDataRow="1" firstDataCol="1" rowPageCount="1" colPageCount="1"/>
  <pivotFields count="3">
    <pivotField dataField="1" numFmtId="167" showAll="0"/>
    <pivotField axis="axisRow" showAll="0" sortType="ascending">
      <items count="97">
        <item m="1" x="71"/>
        <item m="1" x="77"/>
        <item m="1" x="80"/>
        <item m="1" x="82"/>
        <item m="1" x="85"/>
        <item m="1" x="88"/>
        <item m="1" x="92"/>
        <item m="1" x="93"/>
        <item m="1" x="94"/>
        <item m="1" x="83"/>
        <item m="1" x="87"/>
        <item m="1" x="89"/>
        <item m="1" x="73"/>
        <item x="53"/>
        <item x="27"/>
        <item x="1"/>
        <item x="52"/>
        <item x="26"/>
        <item x="0"/>
        <item x="51"/>
        <item x="25"/>
        <item x="50"/>
        <item x="24"/>
        <item x="49"/>
        <item x="48"/>
        <item x="22"/>
        <item x="47"/>
        <item x="46"/>
        <item x="21"/>
        <item x="45"/>
        <item m="1" x="76"/>
        <item x="44"/>
        <item x="19"/>
        <item x="43"/>
        <item x="18"/>
        <item x="42"/>
        <item x="17"/>
        <item x="41"/>
        <item x="40"/>
        <item x="16"/>
        <item x="15"/>
        <item x="39"/>
        <item x="14"/>
        <item x="38"/>
        <item x="13"/>
        <item x="37"/>
        <item x="12"/>
        <item x="36"/>
        <item x="11"/>
        <item x="35"/>
        <item x="34"/>
        <item x="10"/>
        <item x="9"/>
        <item x="33"/>
        <item x="8"/>
        <item x="32"/>
        <item x="7"/>
        <item x="31"/>
        <item x="6"/>
        <item m="1" x="91"/>
        <item x="30"/>
        <item x="5"/>
        <item m="1" x="86"/>
        <item x="29"/>
        <item x="28"/>
        <item x="4"/>
        <item x="3"/>
        <item m="1" x="78"/>
        <item x="54"/>
        <item x="2"/>
        <item x="20"/>
        <item m="1" x="95"/>
        <item m="1" x="90"/>
        <item m="1" x="81"/>
        <item m="1" x="75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23"/>
        <item m="1" x="84"/>
        <item m="1" x="79"/>
        <item m="1" x="74"/>
        <item m="1" x="72"/>
        <item t="default"/>
      </items>
    </pivotField>
    <pivotField axis="axisPage" multipleItemSelectionAllowed="1" showAll="0">
      <items count="5">
        <item h="1" x="3"/>
        <item h="1" x="2"/>
        <item h="1" x="1"/>
        <item x="0"/>
        <item t="default"/>
      </items>
    </pivotField>
  </pivotFields>
  <rowFields count="1">
    <field x="1"/>
  </rowFields>
  <rowItems count="3">
    <i>
      <x v="15"/>
    </i>
    <i>
      <x v="18"/>
    </i>
    <i t="grand">
      <x/>
    </i>
  </rowItems>
  <colItems count="1">
    <i/>
  </colItems>
  <pageFields count="1">
    <pageField fld="2" hier="-1"/>
  </pageFields>
  <dataFields count="1">
    <dataField name="Monto diario" fld="0" baseField="0" baseItem="0" numFmtId="167"/>
  </dataFields>
  <formats count="5">
    <format dxfId="65">
      <pivotArea dataOnly="0" labelOnly="1" outline="0" fieldPosition="0">
        <references count="1">
          <reference field="2" count="1">
            <x v="1"/>
          </reference>
        </references>
      </pivotArea>
    </format>
    <format dxfId="64">
      <pivotArea outline="0" collapsedLevelsAreSubtotals="1" fieldPosition="0"/>
    </format>
    <format dxfId="63">
      <pivotArea dataOnly="0" labelOnly="1" outline="0" axis="axisValues" fieldPosition="0"/>
    </format>
    <format dxfId="62">
      <pivotArea outline="0" fieldPosition="0">
        <references count="1">
          <reference field="4294967294" count="1">
            <x v="0"/>
          </reference>
        </references>
      </pivotArea>
    </format>
    <format dxfId="61">
      <pivotArea dataOnly="0" labelOnly="1" fieldPosition="0">
        <references count="1">
          <reference field="1" count="1">
            <x v="75"/>
          </reference>
        </references>
      </pivotArea>
    </format>
  </format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3" cacheId="10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outline="1" outlineData="1" multipleFieldFilters="0" chartFormat="2">
  <location ref="A3:B5" firstHeaderRow="1" firstDataRow="1" firstDataCol="1" rowPageCount="1" colPageCount="1"/>
  <pivotFields count="4">
    <pivotField axis="axisRow" showAll="0">
      <items count="19">
        <item x="11"/>
        <item x="8"/>
        <item x="3"/>
        <item x="1"/>
        <item x="16"/>
        <item x="15"/>
        <item x="7"/>
        <item x="4"/>
        <item x="12"/>
        <item x="13"/>
        <item x="10"/>
        <item x="0"/>
        <item x="9"/>
        <item x="14"/>
        <item m="1" x="17"/>
        <item x="2"/>
        <item x="5"/>
        <item x="6"/>
        <item t="default"/>
      </items>
    </pivotField>
    <pivotField dataField="1" numFmtId="2" showAll="0"/>
    <pivotField showAll="0"/>
    <pivotField axis="axisPage" multipleItemSelectionAllowed="1" showAll="0">
      <items count="6">
        <item h="1" x="4"/>
        <item h="1" x="3"/>
        <item h="1" x="2"/>
        <item h="1" x="1"/>
        <item x="0"/>
        <item t="default"/>
      </items>
    </pivotField>
  </pivotFields>
  <rowFields count="1">
    <field x="0"/>
  </rowFields>
  <rowItems count="2">
    <i>
      <x v="11"/>
    </i>
    <i t="grand">
      <x/>
    </i>
  </rowItems>
  <colItems count="1">
    <i/>
  </colItems>
  <pageFields count="1">
    <pageField fld="3" hier="-1"/>
  </pageFields>
  <dataFields count="1">
    <dataField name="Monto Total" fld="1" baseField="0" baseItem="2" numFmtId="4"/>
  </dataFields>
  <formats count="9"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0" count="6">
            <x v="2"/>
            <x v="3"/>
            <x v="7"/>
            <x v="11"/>
            <x v="16"/>
            <x v="17"/>
          </reference>
        </references>
      </pivotArea>
    </format>
    <format dxfId="23">
      <pivotArea dataOnly="0" labelOnly="1" grandRow="1" outline="0" fieldPosition="0"/>
    </format>
    <format dxfId="22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9">
  <location ref="K5:M10" firstHeaderRow="1" firstDataRow="2" firstDataCol="1"/>
  <pivotFields count="5">
    <pivotField axis="axisRow" showAll="0" sortType="ascending">
      <items count="19">
        <item h="1" x="0"/>
        <item h="1" x="1"/>
        <item h="1" x="2"/>
        <item x="3"/>
        <item h="1" x="4"/>
        <item x="5"/>
        <item h="1" x="6"/>
        <item h="1" x="7"/>
        <item h="1" x="8"/>
        <item h="1" x="9"/>
        <item h="1" x="10"/>
        <item x="11"/>
        <item h="1" m="1" x="17"/>
        <item h="1" x="12"/>
        <item h="1" x="13"/>
        <item h="1" x="14"/>
        <item h="1" x="15"/>
        <item h="1" x="16"/>
        <item t="default"/>
      </items>
    </pivotField>
    <pivotField showAll="0"/>
    <pivotField showAll="0">
      <items count="87">
        <item x="26"/>
        <item x="27"/>
        <item x="55"/>
        <item x="1"/>
        <item m="1" x="85"/>
        <item x="0"/>
        <item x="48"/>
        <item x="9"/>
        <item x="11"/>
        <item x="13"/>
        <item x="35"/>
        <item x="52"/>
        <item x="23"/>
        <item x="28"/>
        <item x="6"/>
        <item x="8"/>
        <item x="15"/>
        <item x="19"/>
        <item x="49"/>
        <item x="53"/>
        <item x="38"/>
        <item x="22"/>
        <item x="24"/>
        <item x="29"/>
        <item x="64"/>
        <item x="65"/>
        <item x="66"/>
        <item x="63"/>
        <item x="7"/>
        <item x="5"/>
        <item x="31"/>
        <item x="4"/>
        <item x="21"/>
        <item x="2"/>
        <item x="16"/>
        <item x="58"/>
        <item x="81"/>
        <item x="71"/>
        <item x="82"/>
        <item x="83"/>
        <item x="84"/>
        <item x="54"/>
        <item x="18"/>
        <item x="10"/>
        <item x="75"/>
        <item x="72"/>
        <item x="46"/>
        <item x="69"/>
        <item x="67"/>
        <item x="68"/>
        <item x="73"/>
        <item x="30"/>
        <item x="44"/>
        <item x="61"/>
        <item x="78"/>
        <item x="79"/>
        <item x="47"/>
        <item x="60"/>
        <item x="42"/>
        <item x="41"/>
        <item x="34"/>
        <item x="37"/>
        <item x="36"/>
        <item x="40"/>
        <item x="39"/>
        <item x="43"/>
        <item x="45"/>
        <item x="12"/>
        <item x="59"/>
        <item x="51"/>
        <item x="32"/>
        <item x="3"/>
        <item x="33"/>
        <item x="50"/>
        <item x="70"/>
        <item x="62"/>
        <item x="56"/>
        <item x="57"/>
        <item x="20"/>
        <item x="25"/>
        <item x="77"/>
        <item x="80"/>
        <item x="74"/>
        <item x="76"/>
        <item x="14"/>
        <item x="17"/>
        <item t="default"/>
      </items>
    </pivotField>
    <pivotField dataField="1" showAll="0"/>
    <pivotField dataField="1" numFmtId="4" showAll="0"/>
  </pivotFields>
  <rowFields count="1">
    <field x="0"/>
  </rowFields>
  <rowItems count="4">
    <i>
      <x v="3"/>
    </i>
    <i>
      <x v="5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Unidades" fld="3" baseField="0" baseItem="0" numFmtId="3"/>
    <dataField name="Venta Total" fld="4" baseField="0" baseItem="0" numFmtId="4"/>
  </dataFields>
  <chartFormats count="2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6">
  <location ref="G5:I77" firstHeaderRow="1" firstDataRow="2" firstDataCol="1"/>
  <pivotFields count="5">
    <pivotField axis="axisRow" showAll="0" sortType="ascending">
      <items count="19">
        <item h="1" x="0"/>
        <item h="1" x="1"/>
        <item h="1" x="2"/>
        <item x="3"/>
        <item h="1" x="4"/>
        <item x="5"/>
        <item h="1" x="6"/>
        <item h="1" x="7"/>
        <item h="1" x="8"/>
        <item h="1" x="9"/>
        <item h="1" x="10"/>
        <item x="11"/>
        <item h="1" m="1" x="17"/>
        <item h="1" x="12"/>
        <item h="1" x="13"/>
        <item h="1" x="14"/>
        <item h="1" x="15"/>
        <item h="1" x="16"/>
        <item t="default"/>
      </items>
    </pivotField>
    <pivotField axis="axisRow" showAll="0">
      <items count="22">
        <item x="0"/>
        <item x="1"/>
        <item x="3"/>
        <item x="2"/>
        <item x="4"/>
        <item x="5"/>
        <item x="6"/>
        <item x="7"/>
        <item x="8"/>
        <item x="9"/>
        <item x="10"/>
        <item x="11"/>
        <item x="14"/>
        <item x="13"/>
        <item x="12"/>
        <item x="15"/>
        <item x="16"/>
        <item x="17"/>
        <item x="18"/>
        <item x="20"/>
        <item x="19"/>
        <item t="default"/>
      </items>
    </pivotField>
    <pivotField axis="axisRow" showAll="0">
      <items count="87">
        <item x="55"/>
        <item m="1" x="85"/>
        <item x="48"/>
        <item x="9"/>
        <item x="11"/>
        <item x="13"/>
        <item x="35"/>
        <item x="52"/>
        <item x="23"/>
        <item x="28"/>
        <item x="6"/>
        <item x="8"/>
        <item x="15"/>
        <item x="19"/>
        <item x="49"/>
        <item x="53"/>
        <item x="38"/>
        <item x="22"/>
        <item x="24"/>
        <item x="29"/>
        <item x="64"/>
        <item x="65"/>
        <item x="66"/>
        <item x="63"/>
        <item x="7"/>
        <item x="5"/>
        <item x="31"/>
        <item x="4"/>
        <item x="2"/>
        <item x="58"/>
        <item x="81"/>
        <item x="71"/>
        <item x="82"/>
        <item x="83"/>
        <item x="54"/>
        <item x="18"/>
        <item x="10"/>
        <item x="72"/>
        <item x="46"/>
        <item x="69"/>
        <item x="67"/>
        <item x="68"/>
        <item x="73"/>
        <item x="30"/>
        <item x="44"/>
        <item x="61"/>
        <item x="78"/>
        <item x="79"/>
        <item x="47"/>
        <item x="60"/>
        <item x="42"/>
        <item x="41"/>
        <item x="34"/>
        <item x="37"/>
        <item x="36"/>
        <item x="40"/>
        <item x="43"/>
        <item x="45"/>
        <item x="12"/>
        <item x="59"/>
        <item x="51"/>
        <item x="32"/>
        <item x="3"/>
        <item x="33"/>
        <item x="50"/>
        <item x="70"/>
        <item x="56"/>
        <item x="57"/>
        <item x="20"/>
        <item x="77"/>
        <item x="80"/>
        <item x="76"/>
        <item x="14"/>
        <item x="17"/>
        <item x="0"/>
        <item x="25"/>
        <item x="27"/>
        <item x="74"/>
        <item x="62"/>
        <item x="75"/>
        <item x="84"/>
        <item x="21"/>
        <item x="16"/>
        <item x="26"/>
        <item x="1"/>
        <item x="39"/>
        <item t="default"/>
      </items>
    </pivotField>
    <pivotField dataField="1" showAll="0"/>
    <pivotField dataField="1" showAll="0"/>
  </pivotFields>
  <rowFields count="3">
    <field x="0"/>
    <field x="1"/>
    <field x="2"/>
  </rowFields>
  <rowItems count="71">
    <i>
      <x v="3"/>
    </i>
    <i r="1">
      <x v="2"/>
    </i>
    <i r="2">
      <x v="3"/>
    </i>
    <i r="2">
      <x v="4"/>
    </i>
    <i r="2">
      <x v="5"/>
    </i>
    <i r="2">
      <x v="35"/>
    </i>
    <i r="2">
      <x v="36"/>
    </i>
    <i r="2">
      <x v="58"/>
    </i>
    <i r="2">
      <x v="82"/>
    </i>
    <i r="1">
      <x v="4"/>
    </i>
    <i r="2">
      <x v="12"/>
    </i>
    <i r="2">
      <x v="13"/>
    </i>
    <i r="2">
      <x v="72"/>
    </i>
    <i r="2">
      <x v="73"/>
    </i>
    <i>
      <x v="5"/>
    </i>
    <i r="1">
      <x v="6"/>
    </i>
    <i r="2">
      <x v="8"/>
    </i>
    <i r="2">
      <x v="9"/>
    </i>
    <i r="2">
      <x v="17"/>
    </i>
    <i r="2">
      <x v="18"/>
    </i>
    <i r="2">
      <x v="19"/>
    </i>
    <i r="2">
      <x v="75"/>
    </i>
    <i r="2">
      <x v="76"/>
    </i>
    <i r="2">
      <x v="83"/>
    </i>
    <i>
      <x v="11"/>
    </i>
    <i r="1">
      <x v="12"/>
    </i>
    <i r="2">
      <x/>
    </i>
    <i r="2">
      <x v="2"/>
    </i>
    <i r="2">
      <x v="7"/>
    </i>
    <i r="2">
      <x v="14"/>
    </i>
    <i r="2">
      <x v="15"/>
    </i>
    <i r="2">
      <x v="29"/>
    </i>
    <i r="2">
      <x v="34"/>
    </i>
    <i r="2">
      <x v="38"/>
    </i>
    <i r="2">
      <x v="44"/>
    </i>
    <i r="2">
      <x v="48"/>
    </i>
    <i r="2">
      <x v="57"/>
    </i>
    <i r="2">
      <x v="60"/>
    </i>
    <i r="2">
      <x v="64"/>
    </i>
    <i r="2">
      <x v="66"/>
    </i>
    <i r="1">
      <x v="13"/>
    </i>
    <i r="2">
      <x/>
    </i>
    <i r="2">
      <x v="2"/>
    </i>
    <i r="2">
      <x v="7"/>
    </i>
    <i r="2">
      <x v="14"/>
    </i>
    <i r="2">
      <x v="15"/>
    </i>
    <i r="2">
      <x v="29"/>
    </i>
    <i r="2">
      <x v="34"/>
    </i>
    <i r="2">
      <x v="38"/>
    </i>
    <i r="2">
      <x v="44"/>
    </i>
    <i r="2">
      <x v="48"/>
    </i>
    <i r="2">
      <x v="57"/>
    </i>
    <i r="2">
      <x v="60"/>
    </i>
    <i r="2">
      <x v="64"/>
    </i>
    <i r="2">
      <x v="66"/>
    </i>
    <i r="1">
      <x v="14"/>
    </i>
    <i r="2">
      <x/>
    </i>
    <i r="2">
      <x v="2"/>
    </i>
    <i r="2">
      <x v="7"/>
    </i>
    <i r="2">
      <x v="14"/>
    </i>
    <i r="2">
      <x v="15"/>
    </i>
    <i r="2">
      <x v="29"/>
    </i>
    <i r="2">
      <x v="34"/>
    </i>
    <i r="2">
      <x v="38"/>
    </i>
    <i r="2">
      <x v="44"/>
    </i>
    <i r="2">
      <x v="48"/>
    </i>
    <i r="2">
      <x v="57"/>
    </i>
    <i r="2">
      <x v="60"/>
    </i>
    <i r="2">
      <x v="64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Unidades" fld="3" baseField="0" baseItem="0" numFmtId="3"/>
    <dataField name="Venta Total" fld="4" baseField="0" baseItem="0" numFmtId="4"/>
  </dataFields>
  <chartFormats count="2">
    <chartFormat chart="2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2000000}" name="Tabla diná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7">
  <location ref="O5:Q41" firstHeaderRow="1" firstDataRow="2" firstDataCol="1"/>
  <pivotFields count="5">
    <pivotField showAll="0" sortType="ascending">
      <items count="19">
        <item h="1" x="0"/>
        <item h="1" x="1"/>
        <item h="1" x="2"/>
        <item x="3"/>
        <item h="1" x="4"/>
        <item x="5"/>
        <item h="1" x="6"/>
        <item h="1" x="7"/>
        <item h="1" x="8"/>
        <item h="1" x="9"/>
        <item h="1" x="10"/>
        <item x="11"/>
        <item h="1" m="1" x="17"/>
        <item h="1" x="12"/>
        <item h="1" x="13"/>
        <item h="1" x="14"/>
        <item h="1" x="15"/>
        <item h="1" x="16"/>
        <item t="default"/>
      </items>
    </pivotField>
    <pivotField showAll="0"/>
    <pivotField axis="axisRow" showAll="0">
      <items count="87">
        <item x="55"/>
        <item m="1" x="85"/>
        <item x="48"/>
        <item x="9"/>
        <item x="11"/>
        <item x="13"/>
        <item x="35"/>
        <item x="52"/>
        <item x="23"/>
        <item x="28"/>
        <item x="6"/>
        <item x="8"/>
        <item x="15"/>
        <item x="19"/>
        <item x="49"/>
        <item x="53"/>
        <item x="38"/>
        <item x="22"/>
        <item x="24"/>
        <item x="29"/>
        <item x="64"/>
        <item x="65"/>
        <item x="66"/>
        <item x="63"/>
        <item x="7"/>
        <item x="5"/>
        <item x="31"/>
        <item x="4"/>
        <item x="2"/>
        <item x="58"/>
        <item x="81"/>
        <item x="71"/>
        <item x="82"/>
        <item x="83"/>
        <item x="54"/>
        <item x="18"/>
        <item x="10"/>
        <item x="72"/>
        <item x="46"/>
        <item x="69"/>
        <item x="67"/>
        <item x="68"/>
        <item x="73"/>
        <item x="30"/>
        <item x="44"/>
        <item x="61"/>
        <item x="78"/>
        <item x="79"/>
        <item x="47"/>
        <item x="60"/>
        <item x="42"/>
        <item x="41"/>
        <item x="34"/>
        <item x="37"/>
        <item x="36"/>
        <item x="40"/>
        <item x="43"/>
        <item x="45"/>
        <item x="12"/>
        <item x="59"/>
        <item x="51"/>
        <item x="32"/>
        <item x="3"/>
        <item x="33"/>
        <item x="50"/>
        <item x="70"/>
        <item x="56"/>
        <item x="57"/>
        <item x="20"/>
        <item x="77"/>
        <item x="80"/>
        <item x="76"/>
        <item x="14"/>
        <item x="17"/>
        <item x="0"/>
        <item x="25"/>
        <item x="27"/>
        <item x="74"/>
        <item x="62"/>
        <item x="75"/>
        <item x="84"/>
        <item x="21"/>
        <item x="16"/>
        <item x="26"/>
        <item x="1"/>
        <item x="39"/>
        <item t="default"/>
      </items>
    </pivotField>
    <pivotField dataField="1" showAll="0"/>
    <pivotField dataField="1" numFmtId="4" showAll="0"/>
  </pivotFields>
  <rowFields count="1">
    <field x="2"/>
  </rowFields>
  <rowItems count="35">
    <i>
      <x/>
    </i>
    <i>
      <x v="2"/>
    </i>
    <i>
      <x v="3"/>
    </i>
    <i>
      <x v="4"/>
    </i>
    <i>
      <x v="5"/>
    </i>
    <i>
      <x v="7"/>
    </i>
    <i>
      <x v="8"/>
    </i>
    <i>
      <x v="9"/>
    </i>
    <i>
      <x v="12"/>
    </i>
    <i>
      <x v="13"/>
    </i>
    <i>
      <x v="14"/>
    </i>
    <i>
      <x v="15"/>
    </i>
    <i>
      <x v="17"/>
    </i>
    <i>
      <x v="18"/>
    </i>
    <i>
      <x v="19"/>
    </i>
    <i>
      <x v="29"/>
    </i>
    <i>
      <x v="34"/>
    </i>
    <i>
      <x v="35"/>
    </i>
    <i>
      <x v="36"/>
    </i>
    <i>
      <x v="38"/>
    </i>
    <i>
      <x v="44"/>
    </i>
    <i>
      <x v="48"/>
    </i>
    <i>
      <x v="57"/>
    </i>
    <i>
      <x v="58"/>
    </i>
    <i>
      <x v="60"/>
    </i>
    <i>
      <x v="64"/>
    </i>
    <i>
      <x v="66"/>
    </i>
    <i>
      <x v="67"/>
    </i>
    <i>
      <x v="72"/>
    </i>
    <i>
      <x v="73"/>
    </i>
    <i>
      <x v="75"/>
    </i>
    <i>
      <x v="76"/>
    </i>
    <i>
      <x v="82"/>
    </i>
    <i>
      <x v="83"/>
    </i>
    <i t="grand">
      <x/>
    </i>
  </rowItems>
  <colFields count="1">
    <field x="-2"/>
  </colFields>
  <colItems count="2">
    <i>
      <x/>
    </i>
    <i i="1">
      <x v="1"/>
    </i>
  </colItems>
  <dataFields count="2">
    <dataField name="Unidades" fld="3" showDataAs="percentOfTotal" baseField="0" baseItem="0" numFmtId="10"/>
    <dataField name="Venta Total" fld="4" showDataAs="percentOfTotal" baseField="0" baseItem="0" numFmtId="10"/>
  </dataFields>
  <chartFormats count="172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7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6" format="7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6" format="76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6" format="77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6" format="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6" format="79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16" format="80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16" format="81">
      <pivotArea type="data" outline="0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chartFormat>
    <chartFormat chart="16" format="82">
      <pivotArea type="data" outline="0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chartFormat>
    <chartFormat chart="16" format="83">
      <pivotArea type="data" outline="0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chartFormat>
    <chartFormat chart="16" format="8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8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8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8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6" format="88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89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90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6" format="9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6" format="9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6" format="93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6" format="94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6" format="95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6" format="96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6" format="97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6" format="98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6" format="99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6" format="100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6" format="10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6" format="102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6" format="103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6" format="104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6" format="105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6" format="106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6" format="107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6" format="108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6" format="10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6" format="1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6" format="1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16" format="112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6" format="1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16" format="1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6" format="1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6" format="1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6" format="1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6" format="118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6" format="119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6" format="120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6" format="121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16" format="122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6" format="123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16" format="124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16" format="1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16" format="126">
      <pivotArea type="data" outline="0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chartFormat>
    <chartFormat chart="16" format="127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16" format="128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16" format="129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16" format="130">
      <pivotArea type="data" outline="0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chartFormat>
    <chartFormat chart="16" format="1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16" format="132">
      <pivotArea type="data" outline="0" fieldPosition="0">
        <references count="2">
          <reference field="4294967294" count="1" selected="0">
            <x v="0"/>
          </reference>
          <reference field="2" count="1" selected="0">
            <x v="53"/>
          </reference>
        </references>
      </pivotArea>
    </chartFormat>
    <chartFormat chart="16" format="133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16" format="134">
      <pivotArea type="data" outline="0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chartFormat>
    <chartFormat chart="16" format="135">
      <pivotArea type="data" outline="0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chartFormat>
    <chartFormat chart="16" format="136">
      <pivotArea type="data" outline="0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chartFormat>
    <chartFormat chart="16" format="137">
      <pivotArea type="data" outline="0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chartFormat>
    <chartFormat chart="16" format="138">
      <pivotArea type="data" outline="0" fieldPosition="0">
        <references count="2">
          <reference field="4294967294" count="1" selected="0">
            <x v="0"/>
          </reference>
          <reference field="2" count="1" selected="0">
            <x v="59"/>
          </reference>
        </references>
      </pivotArea>
    </chartFormat>
    <chartFormat chart="16" format="139">
      <pivotArea type="data" outline="0" fieldPosition="0">
        <references count="2">
          <reference field="4294967294" count="1" selected="0">
            <x v="0"/>
          </reference>
          <reference field="2" count="1" selected="0">
            <x v="60"/>
          </reference>
        </references>
      </pivotArea>
    </chartFormat>
    <chartFormat chart="16" format="140">
      <pivotArea type="data" outline="0" fieldPosition="0">
        <references count="2">
          <reference field="4294967294" count="1" selected="0">
            <x v="0"/>
          </reference>
          <reference field="2" count="1" selected="0">
            <x v="61"/>
          </reference>
        </references>
      </pivotArea>
    </chartFormat>
    <chartFormat chart="16" format="141">
      <pivotArea type="data" outline="0" fieldPosition="0">
        <references count="2">
          <reference field="4294967294" count="1" selected="0">
            <x v="0"/>
          </reference>
          <reference field="2" count="1" selected="0">
            <x v="62"/>
          </reference>
        </references>
      </pivotArea>
    </chartFormat>
    <chartFormat chart="16" format="142">
      <pivotArea type="data" outline="0" fieldPosition="0">
        <references count="2">
          <reference field="4294967294" count="1" selected="0">
            <x v="0"/>
          </reference>
          <reference field="2" count="1" selected="0">
            <x v="63"/>
          </reference>
        </references>
      </pivotArea>
    </chartFormat>
    <chartFormat chart="16" format="143">
      <pivotArea type="data" outline="0" fieldPosition="0">
        <references count="2">
          <reference field="4294967294" count="1" selected="0">
            <x v="0"/>
          </reference>
          <reference field="2" count="1" selected="0">
            <x v="64"/>
          </reference>
        </references>
      </pivotArea>
    </chartFormat>
    <chartFormat chart="16" format="144">
      <pivotArea type="data" outline="0" fieldPosition="0">
        <references count="2">
          <reference field="4294967294" count="1" selected="0">
            <x v="0"/>
          </reference>
          <reference field="2" count="1" selected="0">
            <x v="65"/>
          </reference>
        </references>
      </pivotArea>
    </chartFormat>
    <chartFormat chart="16" format="145">
      <pivotArea type="data" outline="0" fieldPosition="0">
        <references count="2">
          <reference field="4294967294" count="1" selected="0">
            <x v="0"/>
          </reference>
          <reference field="2" count="1" selected="0">
            <x v="66"/>
          </reference>
        </references>
      </pivotArea>
    </chartFormat>
    <chartFormat chart="16" format="146">
      <pivotArea type="data" outline="0" fieldPosition="0">
        <references count="2">
          <reference field="4294967294" count="1" selected="0">
            <x v="0"/>
          </reference>
          <reference field="2" count="1" selected="0">
            <x v="67"/>
          </reference>
        </references>
      </pivotArea>
    </chartFormat>
    <chartFormat chart="16" format="147">
      <pivotArea type="data" outline="0" fieldPosition="0">
        <references count="2">
          <reference field="4294967294" count="1" selected="0">
            <x v="0"/>
          </reference>
          <reference field="2" count="1" selected="0">
            <x v="68"/>
          </reference>
        </references>
      </pivotArea>
    </chartFormat>
    <chartFormat chart="16" format="148">
      <pivotArea type="data" outline="0" fieldPosition="0">
        <references count="2">
          <reference field="4294967294" count="1" selected="0">
            <x v="0"/>
          </reference>
          <reference field="2" count="1" selected="0">
            <x v="69"/>
          </reference>
        </references>
      </pivotArea>
    </chartFormat>
    <chartFormat chart="16" format="149">
      <pivotArea type="data" outline="0" fieldPosition="0">
        <references count="2">
          <reference field="4294967294" count="1" selected="0">
            <x v="0"/>
          </reference>
          <reference field="2" count="1" selected="0">
            <x v="70"/>
          </reference>
        </references>
      </pivotArea>
    </chartFormat>
    <chartFormat chart="16" format="150">
      <pivotArea type="data" outline="0" fieldPosition="0">
        <references count="2">
          <reference field="4294967294" count="1" selected="0">
            <x v="0"/>
          </reference>
          <reference field="2" count="1" selected="0">
            <x v="71"/>
          </reference>
        </references>
      </pivotArea>
    </chartFormat>
    <chartFormat chart="16" format="151">
      <pivotArea type="data" outline="0" fieldPosition="0">
        <references count="2">
          <reference field="4294967294" count="1" selected="0">
            <x v="0"/>
          </reference>
          <reference field="2" count="1" selected="0">
            <x v="72"/>
          </reference>
        </references>
      </pivotArea>
    </chartFormat>
    <chartFormat chart="16" format="152">
      <pivotArea type="data" outline="0" fieldPosition="0">
        <references count="2">
          <reference field="4294967294" count="1" selected="0">
            <x v="0"/>
          </reference>
          <reference field="2" count="1" selected="0">
            <x v="73"/>
          </reference>
        </references>
      </pivotArea>
    </chartFormat>
    <chartFormat chart="16" format="153">
      <pivotArea type="data" outline="0" fieldPosition="0">
        <references count="2">
          <reference field="4294967294" count="1" selected="0">
            <x v="0"/>
          </reference>
          <reference field="2" count="1" selected="0">
            <x v="74"/>
          </reference>
        </references>
      </pivotArea>
    </chartFormat>
    <chartFormat chart="16" format="154">
      <pivotArea type="data" outline="0" fieldPosition="0">
        <references count="2">
          <reference field="4294967294" count="1" selected="0">
            <x v="0"/>
          </reference>
          <reference field="2" count="1" selected="0">
            <x v="75"/>
          </reference>
        </references>
      </pivotArea>
    </chartFormat>
    <chartFormat chart="16" format="155">
      <pivotArea type="data" outline="0" fieldPosition="0">
        <references count="2">
          <reference field="4294967294" count="1" selected="0">
            <x v="0"/>
          </reference>
          <reference field="2" count="1" selected="0">
            <x v="76"/>
          </reference>
        </references>
      </pivotArea>
    </chartFormat>
    <chartFormat chart="16" format="156">
      <pivotArea type="data" outline="0" fieldPosition="0">
        <references count="2">
          <reference field="4294967294" count="1" selected="0">
            <x v="0"/>
          </reference>
          <reference field="2" count="1" selected="0">
            <x v="77"/>
          </reference>
        </references>
      </pivotArea>
    </chartFormat>
    <chartFormat chart="16" format="157">
      <pivotArea type="data" outline="0" fieldPosition="0">
        <references count="2">
          <reference field="4294967294" count="1" selected="0">
            <x v="0"/>
          </reference>
          <reference field="2" count="1" selected="0">
            <x v="78"/>
          </reference>
        </references>
      </pivotArea>
    </chartFormat>
    <chartFormat chart="16" format="158">
      <pivotArea type="data" outline="0" fieldPosition="0">
        <references count="2">
          <reference field="4294967294" count="1" selected="0">
            <x v="0"/>
          </reference>
          <reference field="2" count="1" selected="0">
            <x v="79"/>
          </reference>
        </references>
      </pivotArea>
    </chartFormat>
    <chartFormat chart="16" format="159">
      <pivotArea type="data" outline="0" fieldPosition="0">
        <references count="2">
          <reference field="4294967294" count="1" selected="0">
            <x v="0"/>
          </reference>
          <reference field="2" count="1" selected="0">
            <x v="80"/>
          </reference>
        </references>
      </pivotArea>
    </chartFormat>
    <chartFormat chart="16" format="160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6" format="16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162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163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6" format="164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6" format="165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6" format="166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6" format="167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6" format="168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16" format="169">
      <pivotArea type="data" outline="0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chartFormat>
    <chartFormat chart="16" format="170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6" format="171">
      <pivotArea type="data" outline="0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chartFormat>
    <chartFormat chart="16" format="172">
      <pivotArea type="data" outline="0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chartFormat>
    <chartFormat chart="16" format="173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16" format="174">
      <pivotArea type="data" outline="0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chartFormat>
    <chartFormat chart="16" format="175">
      <pivotArea type="data" outline="0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chartFormat>
    <chartFormat chart="16" format="176">
      <pivotArea type="data" outline="0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chartFormat>
    <chartFormat chart="16" format="177">
      <pivotArea type="data" outline="0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chartFormat>
    <chartFormat chart="16" format="178">
      <pivotArea type="data" outline="0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chartFormat>
    <chartFormat chart="16" format="179">
      <pivotArea type="data" outline="0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chartFormat>
    <chartFormat chart="16" format="180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16" format="181">
      <pivotArea type="data" outline="0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chartFormat>
    <chartFormat chart="16" format="182">
      <pivotArea type="data" outline="0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chartFormat>
    <chartFormat chart="16" format="183">
      <pivotArea type="data" outline="0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chartFormat>
    <chartFormat chart="16" format="184">
      <pivotArea type="data" outline="0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chartFormat>
    <chartFormat chart="16" format="185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16" format="186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16" format="187">
      <pivotArea type="data" outline="0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chartFormat>
    <chartFormat chart="16" format="188">
      <pivotArea type="data" outline="0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chartFormat>
    <chartFormat chart="16" format="189">
      <pivotArea type="data" outline="0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chartFormat>
    <chartFormat chart="16" format="190">
      <pivotArea type="data" outline="0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chartFormat>
    <chartFormat chart="16" format="191">
      <pivotArea type="data" outline="0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chartFormat>
    <chartFormat chart="16" format="192">
      <pivotArea type="data" outline="0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chartFormat>
    <chartFormat chart="16" format="193">
      <pivotArea type="data" outline="0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chartFormat>
    <chartFormat chart="16" format="194">
      <pivotArea type="data" outline="0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chartFormat>
    <chartFormat chart="16" format="195">
      <pivotArea type="data" outline="0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chartFormat>
    <chartFormat chart="16" format="196">
      <pivotArea type="data" outline="0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chartFormat>
    <chartFormat chart="16" format="197">
      <pivotArea type="data" outline="0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chartFormat>
    <chartFormat chart="16" format="198">
      <pivotArea type="data" outline="0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chartFormat>
    <chartFormat chart="16" format="199">
      <pivotArea type="data" outline="0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chartFormat>
    <chartFormat chart="16" format="200">
      <pivotArea type="data" outline="0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chartFormat>
    <chartFormat chart="16" format="201">
      <pivotArea type="data" outline="0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chartFormat>
    <chartFormat chart="16" format="202">
      <pivotArea type="data" outline="0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chartFormat>
    <chartFormat chart="16" format="203">
      <pivotArea type="data" outline="0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chartFormat>
    <chartFormat chart="16" format="204">
      <pivotArea type="data" outline="0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chartFormat>
    <chartFormat chart="16" format="205">
      <pivotArea type="data" outline="0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chartFormat>
    <chartFormat chart="16" format="206">
      <pivotArea type="data" outline="0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chartFormat>
    <chartFormat chart="16" format="207">
      <pivotArea type="data" outline="0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chartFormat>
    <chartFormat chart="16" format="208">
      <pivotArea type="data" outline="0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chartFormat>
    <chartFormat chart="16" format="209">
      <pivotArea type="data" outline="0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chartFormat>
    <chartFormat chart="16" format="210">
      <pivotArea type="data" outline="0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chartFormat>
    <chartFormat chart="16" format="211">
      <pivotArea type="data" outline="0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chartFormat>
    <chartFormat chart="16" format="212">
      <pivotArea type="data" outline="0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chartFormat>
    <chartFormat chart="16" format="213">
      <pivotArea type="data" outline="0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chartFormat>
    <chartFormat chart="16" format="214">
      <pivotArea type="data" outline="0" fieldPosition="0">
        <references count="2">
          <reference field="4294967294" count="1" selected="0">
            <x v="1"/>
          </reference>
          <reference field="2" count="1" selected="0">
            <x v="59"/>
          </reference>
        </references>
      </pivotArea>
    </chartFormat>
    <chartFormat chart="16" format="215">
      <pivotArea type="data" outline="0" fieldPosition="0">
        <references count="2">
          <reference field="4294967294" count="1" selected="0">
            <x v="1"/>
          </reference>
          <reference field="2" count="1" selected="0">
            <x v="60"/>
          </reference>
        </references>
      </pivotArea>
    </chartFormat>
    <chartFormat chart="16" format="216">
      <pivotArea type="data" outline="0" fieldPosition="0">
        <references count="2">
          <reference field="4294967294" count="1" selected="0">
            <x v="1"/>
          </reference>
          <reference field="2" count="1" selected="0">
            <x v="61"/>
          </reference>
        </references>
      </pivotArea>
    </chartFormat>
    <chartFormat chart="16" format="217">
      <pivotArea type="data" outline="0" fieldPosition="0">
        <references count="2">
          <reference field="4294967294" count="1" selected="0">
            <x v="1"/>
          </reference>
          <reference field="2" count="1" selected="0">
            <x v="62"/>
          </reference>
        </references>
      </pivotArea>
    </chartFormat>
    <chartFormat chart="16" format="218">
      <pivotArea type="data" outline="0" fieldPosition="0">
        <references count="2">
          <reference field="4294967294" count="1" selected="0">
            <x v="1"/>
          </reference>
          <reference field="2" count="1" selected="0">
            <x v="63"/>
          </reference>
        </references>
      </pivotArea>
    </chartFormat>
    <chartFormat chart="16" format="219">
      <pivotArea type="data" outline="0" fieldPosition="0">
        <references count="2">
          <reference field="4294967294" count="1" selected="0">
            <x v="1"/>
          </reference>
          <reference field="2" count="1" selected="0">
            <x v="64"/>
          </reference>
        </references>
      </pivotArea>
    </chartFormat>
    <chartFormat chart="16" format="220">
      <pivotArea type="data" outline="0" fieldPosition="0">
        <references count="2">
          <reference field="4294967294" count="1" selected="0">
            <x v="1"/>
          </reference>
          <reference field="2" count="1" selected="0">
            <x v="65"/>
          </reference>
        </references>
      </pivotArea>
    </chartFormat>
    <chartFormat chart="16" format="221">
      <pivotArea type="data" outline="0" fieldPosition="0">
        <references count="2">
          <reference field="4294967294" count="1" selected="0">
            <x v="1"/>
          </reference>
          <reference field="2" count="1" selected="0">
            <x v="66"/>
          </reference>
        </references>
      </pivotArea>
    </chartFormat>
    <chartFormat chart="16" format="222">
      <pivotArea type="data" outline="0" fieldPosition="0">
        <references count="2">
          <reference field="4294967294" count="1" selected="0">
            <x v="1"/>
          </reference>
          <reference field="2" count="1" selected="0">
            <x v="67"/>
          </reference>
        </references>
      </pivotArea>
    </chartFormat>
    <chartFormat chart="16" format="223">
      <pivotArea type="data" outline="0" fieldPosition="0">
        <references count="2">
          <reference field="4294967294" count="1" selected="0">
            <x v="1"/>
          </reference>
          <reference field="2" count="1" selected="0">
            <x v="68"/>
          </reference>
        </references>
      </pivotArea>
    </chartFormat>
    <chartFormat chart="16" format="224">
      <pivotArea type="data" outline="0" fieldPosition="0">
        <references count="2">
          <reference field="4294967294" count="1" selected="0">
            <x v="1"/>
          </reference>
          <reference field="2" count="1" selected="0">
            <x v="69"/>
          </reference>
        </references>
      </pivotArea>
    </chartFormat>
    <chartFormat chart="16" format="225">
      <pivotArea type="data" outline="0" fieldPosition="0">
        <references count="2">
          <reference field="4294967294" count="1" selected="0">
            <x v="1"/>
          </reference>
          <reference field="2" count="1" selected="0">
            <x v="70"/>
          </reference>
        </references>
      </pivotArea>
    </chartFormat>
    <chartFormat chart="16" format="226">
      <pivotArea type="data" outline="0" fieldPosition="0">
        <references count="2">
          <reference field="4294967294" count="1" selected="0">
            <x v="1"/>
          </reference>
          <reference field="2" count="1" selected="0">
            <x v="71"/>
          </reference>
        </references>
      </pivotArea>
    </chartFormat>
    <chartFormat chart="16" format="227">
      <pivotArea type="data" outline="0" fieldPosition="0">
        <references count="2">
          <reference field="4294967294" count="1" selected="0">
            <x v="1"/>
          </reference>
          <reference field="2" count="1" selected="0">
            <x v="72"/>
          </reference>
        </references>
      </pivotArea>
    </chartFormat>
    <chartFormat chart="16" format="228">
      <pivotArea type="data" outline="0" fieldPosition="0">
        <references count="2">
          <reference field="4294967294" count="1" selected="0">
            <x v="1"/>
          </reference>
          <reference field="2" count="1" selected="0">
            <x v="73"/>
          </reference>
        </references>
      </pivotArea>
    </chartFormat>
    <chartFormat chart="16" format="229">
      <pivotArea type="data" outline="0" fieldPosition="0">
        <references count="2">
          <reference field="4294967294" count="1" selected="0">
            <x v="1"/>
          </reference>
          <reference field="2" count="1" selected="0">
            <x v="74"/>
          </reference>
        </references>
      </pivotArea>
    </chartFormat>
    <chartFormat chart="16" format="230">
      <pivotArea type="data" outline="0" fieldPosition="0">
        <references count="2">
          <reference field="4294967294" count="1" selected="0">
            <x v="1"/>
          </reference>
          <reference field="2" count="1" selected="0">
            <x v="75"/>
          </reference>
        </references>
      </pivotArea>
    </chartFormat>
    <chartFormat chart="16" format="231">
      <pivotArea type="data" outline="0" fieldPosition="0">
        <references count="2">
          <reference field="4294967294" count="1" selected="0">
            <x v="1"/>
          </reference>
          <reference field="2" count="1" selected="0">
            <x v="76"/>
          </reference>
        </references>
      </pivotArea>
    </chartFormat>
    <chartFormat chart="16" format="232">
      <pivotArea type="data" outline="0" fieldPosition="0">
        <references count="2">
          <reference field="4294967294" count="1" selected="0">
            <x v="1"/>
          </reference>
          <reference field="2" count="1" selected="0">
            <x v="77"/>
          </reference>
        </references>
      </pivotArea>
    </chartFormat>
    <chartFormat chart="16" format="233">
      <pivotArea type="data" outline="0" fieldPosition="0">
        <references count="2">
          <reference field="4294967294" count="1" selected="0">
            <x v="1"/>
          </reference>
          <reference field="2" count="1" selected="0">
            <x v="78"/>
          </reference>
        </references>
      </pivotArea>
    </chartFormat>
    <chartFormat chart="16" format="234">
      <pivotArea type="data" outline="0" fieldPosition="0">
        <references count="2">
          <reference field="4294967294" count="1" selected="0">
            <x v="1"/>
          </reference>
          <reference field="2" count="1" selected="0">
            <x v="79"/>
          </reference>
        </references>
      </pivotArea>
    </chartFormat>
    <chartFormat chart="16" format="235">
      <pivotArea type="data" outline="0" fieldPosition="0">
        <references count="2">
          <reference field="4294967294" count="1" selected="0">
            <x v="1"/>
          </reference>
          <reference field="2" count="1" selected="0">
            <x v="80"/>
          </reference>
        </references>
      </pivotArea>
    </chartFormat>
    <chartFormat chart="16" format="236">
      <pivotArea type="data" outline="0" fieldPosition="0">
        <references count="2">
          <reference field="4294967294" count="1" selected="0">
            <x v="0"/>
          </reference>
          <reference field="2" count="1" selected="0">
            <x v="82"/>
          </reference>
        </references>
      </pivotArea>
    </chartFormat>
    <chartFormat chart="16" format="237">
      <pivotArea type="data" outline="0" fieldPosition="0">
        <references count="2">
          <reference field="4294967294" count="1" selected="0">
            <x v="1"/>
          </reference>
          <reference field="2" count="1" selected="0">
            <x v="82"/>
          </reference>
        </references>
      </pivotArea>
    </chartFormat>
    <chartFormat chart="16" format="238">
      <pivotArea type="data" outline="0" fieldPosition="0">
        <references count="2">
          <reference field="4294967294" count="1" selected="0">
            <x v="0"/>
          </reference>
          <reference field="2" count="1" selected="0">
            <x v="83"/>
          </reference>
        </references>
      </pivotArea>
    </chartFormat>
    <chartFormat chart="16" format="239">
      <pivotArea type="data" outline="0" fieldPosition="0">
        <references count="2">
          <reference field="4294967294" count="1" selected="0">
            <x v="1"/>
          </reference>
          <reference field="2" count="1" selected="0">
            <x v="8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1100-000000000000}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ia1" tableColumnId="6"/>
      <queryTableField id="2" name="Categoria" tableColumnId="7"/>
      <queryTableField id="3" name="Producto" tableColumnId="8"/>
      <queryTableField id="4" name="Ventas" tableColumnId="9"/>
      <queryTableField id="5" name="Total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1" xr10:uid="{00000000-0013-0000-FFFF-FFFF01000000}" sourceName="Categoria1">
  <pivotTables>
    <pivotTable tabId="20" name="Tabla dinámica3"/>
    <pivotTable tabId="20" name="Tabla dinámica2"/>
    <pivotTable tabId="20" name="Tabla dinámica1"/>
  </pivotTables>
  <data>
    <tabular pivotCacheId="1">
      <items count="18">
        <i x="0"/>
        <i x="1"/>
        <i x="2"/>
        <i x="3" s="1"/>
        <i x="4"/>
        <i x="5" s="1"/>
        <i x="6"/>
        <i x="7"/>
        <i x="8"/>
        <i x="9"/>
        <i x="10"/>
        <i x="11" s="1"/>
        <i x="12"/>
        <i x="13"/>
        <i x="14"/>
        <i x="15"/>
        <i x="16"/>
        <i x="1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00000000-0013-0000-FFFF-FFFF02000000}" sourceName="Producto">
  <pivotTables>
    <pivotTable tabId="20" name="Tabla dinámica3"/>
    <pivotTable tabId="20" name="Tabla dinámica2"/>
    <pivotTable tabId="20" name="Tabla dinámica1"/>
  </pivotTables>
  <data>
    <tabular pivotCacheId="1">
      <items count="86">
        <i x="26" s="1"/>
        <i x="27" s="1"/>
        <i x="55" s="1"/>
        <i x="48" s="1"/>
        <i x="9" s="1"/>
        <i x="11" s="1"/>
        <i x="13" s="1"/>
        <i x="52" s="1"/>
        <i x="23" s="1"/>
        <i x="28" s="1"/>
        <i x="15" s="1"/>
        <i x="19" s="1"/>
        <i x="49" s="1"/>
        <i x="53" s="1"/>
        <i x="22" s="1"/>
        <i x="24" s="1"/>
        <i x="29" s="1"/>
        <i x="16" s="1"/>
        <i x="58" s="1"/>
        <i x="54" s="1"/>
        <i x="18" s="1"/>
        <i x="10" s="1"/>
        <i x="46" s="1"/>
        <i x="44" s="1"/>
        <i x="47" s="1"/>
        <i x="45" s="1"/>
        <i x="12" s="1"/>
        <i x="51" s="1"/>
        <i x="50" s="1"/>
        <i x="56" s="1"/>
        <i x="57" s="1"/>
        <i x="25" s="1"/>
        <i x="14" s="1"/>
        <i x="17" s="1"/>
        <i x="1" s="1" nd="1"/>
        <i x="85" s="1" nd="1"/>
        <i x="0" s="1" nd="1"/>
        <i x="35" s="1" nd="1"/>
        <i x="6" s="1" nd="1"/>
        <i x="8" s="1" nd="1"/>
        <i x="38" s="1" nd="1"/>
        <i x="64" s="1" nd="1"/>
        <i x="65" s="1" nd="1"/>
        <i x="66" s="1" nd="1"/>
        <i x="63" s="1" nd="1"/>
        <i x="7" s="1" nd="1"/>
        <i x="5" s="1" nd="1"/>
        <i x="31" s="1" nd="1"/>
        <i x="4" s="1" nd="1"/>
        <i x="21" s="1" nd="1"/>
        <i x="2" s="1" nd="1"/>
        <i x="81" s="1" nd="1"/>
        <i x="71" s="1" nd="1"/>
        <i x="82" s="1" nd="1"/>
        <i x="83" s="1" nd="1"/>
        <i x="84" s="1" nd="1"/>
        <i x="75" s="1" nd="1"/>
        <i x="72" s="1" nd="1"/>
        <i x="69" s="1" nd="1"/>
        <i x="67" s="1" nd="1"/>
        <i x="68" s="1" nd="1"/>
        <i x="73" s="1" nd="1"/>
        <i x="30" s="1" nd="1"/>
        <i x="61" s="1" nd="1"/>
        <i x="78" s="1" nd="1"/>
        <i x="79" s="1" nd="1"/>
        <i x="60" s="1" nd="1"/>
        <i x="42" s="1" nd="1"/>
        <i x="41" s="1" nd="1"/>
        <i x="34" s="1" nd="1"/>
        <i x="37" s="1" nd="1"/>
        <i x="36" s="1" nd="1"/>
        <i x="40" s="1" nd="1"/>
        <i x="39" s="1" nd="1"/>
        <i x="43" s="1" nd="1"/>
        <i x="59" s="1" nd="1"/>
        <i x="32" s="1" nd="1"/>
        <i x="3" s="1" nd="1"/>
        <i x="33" s="1" nd="1"/>
        <i x="70" s="1" nd="1"/>
        <i x="62" s="1" nd="1"/>
        <i x="20" s="1" nd="1"/>
        <i x="77" s="1" nd="1"/>
        <i x="80" s="1" nd="1"/>
        <i x="74" s="1" nd="1"/>
        <i x="7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00000000-0014-0000-FFFF-FFFF01000000}" cache="SegmentaciónDeDatos_Categoria1" caption="Categoria" startItem="6" columnCount="2" rowHeight="225425"/>
  <slicer name="Producto" xr10:uid="{00000000-0014-0000-FFFF-FFFF02000000}" cache="SegmentaciónDeDatos_Producto" caption="Producto" startItem="8" columnCount="2" rowHeight="225425"/>
</slicer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4" displayName="Tabla4" ref="A5:D80" totalsRowShown="0" headerRowBorderDxfId="60" tableBorderDxfId="59">
  <autoFilter ref="A5:D80" xr:uid="{00000000-0009-0000-0100-000004000000}"/>
  <tableColumns count="4">
    <tableColumn id="1" xr3:uid="{00000000-0010-0000-0000-000001000000}" name="Monto" dataDxfId="58"/>
    <tableColumn id="2" xr3:uid="{00000000-0010-0000-0000-000002000000}" name="Fecha" dataDxfId="57"/>
    <tableColumn id="3" xr3:uid="{00000000-0010-0000-0000-000003000000}" name="Mes" dataDxfId="56"/>
    <tableColumn id="4" xr3:uid="{00000000-0010-0000-0000-000004000000}" name="id" dataDxfId="5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GastosFijos" displayName="GastosFijos" ref="A5:E24" totalsRowShown="0" headerRowBorderDxfId="54" tableBorderDxfId="53">
  <autoFilter ref="A5:E24" xr:uid="{00000000-0009-0000-0100-00000E000000}"/>
  <tableColumns count="5">
    <tableColumn id="1" xr3:uid="{00000000-0010-0000-0100-000001000000}" name="Servicio" dataDxfId="52"/>
    <tableColumn id="2" xr3:uid="{00000000-0010-0000-0100-000002000000}" name="Monto " dataDxfId="51" dataCellStyle="Millares"/>
    <tableColumn id="3" xr3:uid="{00000000-0010-0000-0100-000003000000}" name="Fecha" dataDxfId="50"/>
    <tableColumn id="4" xr3:uid="{00000000-0010-0000-0100-000004000000}" name="Mes" dataDxfId="49"/>
    <tableColumn id="5" xr3:uid="{00000000-0010-0000-0100-000005000000}" name="id" dataDxfId="48"/>
  </tableColumns>
  <tableStyleInfo name="TableStyleMedium9 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a5" displayName="Tabla5" ref="A5:E100" totalsRowShown="0" headerRowBorderDxfId="47" tableBorderDxfId="46">
  <autoFilter ref="A5:E100" xr:uid="{00000000-0009-0000-0100-000006000000}"/>
  <tableColumns count="5">
    <tableColumn id="1" xr3:uid="{00000000-0010-0000-0200-000001000000}" name="Proveedor" dataDxfId="45"/>
    <tableColumn id="2" xr3:uid="{00000000-0010-0000-0200-000002000000}" name="Monto" dataDxfId="44"/>
    <tableColumn id="3" xr3:uid="{00000000-0010-0000-0200-000003000000}" name="Fecha" dataDxfId="43"/>
    <tableColumn id="4" xr3:uid="{00000000-0010-0000-0200-000004000000}" name="Mes" dataDxfId="42"/>
    <tableColumn id="5" xr3:uid="{00000000-0010-0000-0200-000005000000}" name="id" dataDxfId="41"/>
  </tableColumns>
  <tableStyleInfo name="TableStyleMedium9 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a9" displayName="Tabla9" ref="A5:E11" insertRowShift="1" totalsRowShown="0">
  <autoFilter ref="A5:E11" xr:uid="{00000000-0009-0000-0100-000009000000}"/>
  <tableColumns count="5">
    <tableColumn id="1" xr3:uid="{00000000-0010-0000-0300-000001000000}" name="Nombre" dataDxfId="40"/>
    <tableColumn id="2" xr3:uid="{00000000-0010-0000-0300-000002000000}" name="Monto" dataDxfId="39"/>
    <tableColumn id="3" xr3:uid="{00000000-0010-0000-0300-000003000000}" name="Fecha" dataDxfId="38"/>
    <tableColumn id="4" xr3:uid="{00000000-0010-0000-0300-000004000000}" name="Mes" dataDxfId="37"/>
    <tableColumn id="5" xr3:uid="{00000000-0010-0000-0300-000005000000}" name="id" dataDxfId="3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nomina" displayName="nomina" ref="C1:C4" totalsRowShown="0" headerRowDxfId="35">
  <autoFilter ref="C1:C4" xr:uid="{00000000-0009-0000-0100-000001000000}"/>
  <tableColumns count="1">
    <tableColumn id="1" xr3:uid="{00000000-0010-0000-0400-000001000000}" name="Emplead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proveedor" displayName="proveedor" ref="B1:B15" totalsRowShown="0" headerRowDxfId="34" dataDxfId="33">
  <autoFilter ref="B1:B15" xr:uid="{00000000-0009-0000-0100-000002000000}"/>
  <tableColumns count="1">
    <tableColumn id="1" xr3:uid="{00000000-0010-0000-0500-000001000000}" name="Proveedor" dataDxfId="3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servicio" displayName="servicio" ref="A1:A8" totalsRowShown="0" headerRowDxfId="31">
  <autoFilter ref="A1:A8" xr:uid="{00000000-0009-0000-0100-000003000000}"/>
  <tableColumns count="1">
    <tableColumn id="1" xr3:uid="{00000000-0010-0000-0600-000001000000}" name="Servici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Cajachica" displayName="Cajachica" ref="A1:E83" totalsRowShown="0" dataDxfId="21">
  <autoFilter ref="A1:E83" xr:uid="{00000000-0009-0000-0100-000007000000}"/>
  <tableColumns count="5">
    <tableColumn id="1" xr3:uid="{00000000-0010-0000-0700-000001000000}" name="fecha" dataDxfId="20"/>
    <tableColumn id="2" xr3:uid="{00000000-0010-0000-0700-000002000000}" name="concepto " dataDxfId="19"/>
    <tableColumn id="3" xr3:uid="{00000000-0010-0000-0700-000003000000}" name="depositos" dataDxfId="18"/>
    <tableColumn id="4" xr3:uid="{00000000-0010-0000-0700-000004000000}" name="pagos" dataDxfId="17"/>
    <tableColumn id="5" xr3:uid="{00000000-0010-0000-0700-000005000000}" name="id" dataDxfId="16"/>
  </tableColumns>
  <tableStyleInfo name="TableStyleMedium9 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a8" displayName="Tabla8" ref="A4:D5" insertRowShift="1" totalsRowShown="0">
  <autoFilter ref="A4:D5" xr:uid="{00000000-0009-0000-0100-000008000000}"/>
  <tableColumns count="4">
    <tableColumn id="1" xr3:uid="{00000000-0010-0000-0800-000001000000}" name="id" dataDxfId="15"/>
    <tableColumn id="2" xr3:uid="{00000000-0010-0000-0800-000002000000}" name="concepto"/>
    <tableColumn id="3" xr3:uid="{00000000-0010-0000-0800-000003000000}" name="fecha" dataDxfId="14"/>
    <tableColumn id="4" xr3:uid="{00000000-0010-0000-0800-000004000000}" name="monto" dataDxfId="1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Banco" displayName="Banco" ref="A1:E87" totalsRowShown="0" dataDxfId="12">
  <autoFilter ref="A1:E87" xr:uid="{00000000-0009-0000-0100-00000B000000}"/>
  <tableColumns count="5">
    <tableColumn id="1" xr3:uid="{00000000-0010-0000-0900-000001000000}" name="fecha" dataDxfId="11"/>
    <tableColumn id="2" xr3:uid="{00000000-0010-0000-0900-000002000000}" name="concepto " dataDxfId="10"/>
    <tableColumn id="3" xr3:uid="{00000000-0010-0000-0900-000003000000}" name="depositos" dataDxfId="9"/>
    <tableColumn id="4" xr3:uid="{00000000-0010-0000-0900-000004000000}" name="pagos" dataDxfId="8"/>
    <tableColumn id="5" xr3:uid="{00000000-0010-0000-0900-000005000000}" name="id" dataDxfId="7"/>
  </tableColumns>
  <tableStyleInfo name="TableStyleMedium9 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Hoja1__2" displayName="Hoja1__2" ref="A1:E115" tableType="queryTable" totalsRowShown="0" headerRowDxfId="6" dataDxfId="5">
  <autoFilter ref="A1:E115" xr:uid="{00000000-0009-0000-0100-000005000000}"/>
  <sortState xmlns:xlrd2="http://schemas.microsoft.com/office/spreadsheetml/2017/richdata2" ref="A2:E97">
    <sortCondition ref="A1:A97"/>
  </sortState>
  <tableColumns count="5">
    <tableColumn id="6" xr3:uid="{00000000-0010-0000-0A00-000006000000}" uniqueName="6" name="Categoria1" queryTableFieldId="1" dataDxfId="4"/>
    <tableColumn id="7" xr3:uid="{00000000-0010-0000-0A00-000007000000}" uniqueName="7" name="Categoria" queryTableFieldId="2" dataDxfId="3"/>
    <tableColumn id="8" xr3:uid="{00000000-0010-0000-0A00-000008000000}" uniqueName="8" name="Producto" queryTableFieldId="3" dataDxfId="2"/>
    <tableColumn id="9" xr3:uid="{00000000-0010-0000-0A00-000009000000}" uniqueName="9" name="Ventas" queryTableFieldId="4" dataDxfId="1"/>
    <tableColumn id="10" xr3:uid="{00000000-0010-0000-0A00-00000A000000}" uniqueName="10" name="Total" queryTableFieldId="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showGridLines="0" showRowColHeaders="0" topLeftCell="C5" workbookViewId="0">
      <selection activeCell="J13" sqref="J13"/>
    </sheetView>
  </sheetViews>
  <sheetFormatPr baseColWidth="10" defaultColWidth="11.44140625" defaultRowHeight="13.2" x14ac:dyDescent="0.25"/>
  <cols>
    <col min="1" max="16384" width="11.44140625" style="2"/>
  </cols>
  <sheetData/>
  <sheetProtection algorithmName="SHA-512" hashValue="r81hj/6U+G/BG8wKH0m2bOTz7r8azCdt3j/ixrg5puneY7RUJAugGwmkuPA42+t/atSaZmjwhA6M6DewDDdNQA==" saltValue="4zfU7y/AAm+CE/aVaMFqDA==" spinCount="100000" sheet="1" objects="1" scenarios="1" selectLockedCells="1" selectUnlockedCells="1"/>
  <pageMargins left="0.7" right="0.7" top="0.75" bottom="0.75" header="0.3" footer="0.3"/>
  <pageSetup paperSize="9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:D67"/>
  <sheetViews>
    <sheetView showGridLines="0" showRowColHeaders="0" workbookViewId="0">
      <selection activeCell="B3" sqref="B3"/>
    </sheetView>
  </sheetViews>
  <sheetFormatPr baseColWidth="10" defaultRowHeight="13.2" x14ac:dyDescent="0.25"/>
  <cols>
    <col min="1" max="1" width="17.109375" bestFit="1" customWidth="1"/>
    <col min="2" max="2" width="11.88671875" style="16" bestFit="1" customWidth="1"/>
    <col min="3" max="3" width="3.5546875" customWidth="1"/>
  </cols>
  <sheetData>
    <row r="1" spans="1:4" x14ac:dyDescent="0.25">
      <c r="A1" s="11" t="s">
        <v>43</v>
      </c>
      <c r="B1" t="s">
        <v>49</v>
      </c>
      <c r="D1" s="119"/>
    </row>
    <row r="2" spans="1:4" x14ac:dyDescent="0.25">
      <c r="D2" s="56"/>
    </row>
    <row r="3" spans="1:4" x14ac:dyDescent="0.25">
      <c r="A3" s="11" t="s">
        <v>264</v>
      </c>
      <c r="B3" s="15" t="s">
        <v>190</v>
      </c>
    </row>
    <row r="4" spans="1:4" x14ac:dyDescent="0.25">
      <c r="A4" s="6" t="s">
        <v>327</v>
      </c>
      <c r="B4" s="10">
        <v>145.1</v>
      </c>
    </row>
    <row r="5" spans="1:4" x14ac:dyDescent="0.25">
      <c r="A5" s="6" t="s">
        <v>332</v>
      </c>
      <c r="B5" s="10">
        <v>204.4</v>
      </c>
    </row>
    <row r="6" spans="1:4" x14ac:dyDescent="0.25">
      <c r="A6" s="6" t="s">
        <v>37</v>
      </c>
      <c r="B6" s="10">
        <v>349.5</v>
      </c>
    </row>
    <row r="7" spans="1:4" x14ac:dyDescent="0.25">
      <c r="B7"/>
    </row>
    <row r="8" spans="1:4" x14ac:dyDescent="0.25">
      <c r="B8"/>
    </row>
    <row r="9" spans="1:4" x14ac:dyDescent="0.25"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  <row r="14" spans="1:4" x14ac:dyDescent="0.25">
      <c r="B14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</sheetData>
  <pageMargins left="0.7" right="0.7" top="0.75" bottom="0.75" header="0.3" footer="0.3"/>
  <pageSetup paperSize="0" orientation="portrait" horizontalDpi="203" verticalDpi="20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L81"/>
  <sheetViews>
    <sheetView workbookViewId="0">
      <selection activeCell="A6" sqref="A6"/>
    </sheetView>
  </sheetViews>
  <sheetFormatPr baseColWidth="10" defaultRowHeight="13.2" x14ac:dyDescent="0.25"/>
  <cols>
    <col min="1" max="1" width="11.5546875" style="9" bestFit="1" customWidth="1"/>
    <col min="2" max="2" width="12" style="184" bestFit="1" customWidth="1"/>
    <col min="3" max="3" width="13.44140625" style="68" bestFit="1" customWidth="1"/>
    <col min="4" max="4" width="5" bestFit="1" customWidth="1"/>
    <col min="5" max="5" width="11.5546875" bestFit="1" customWidth="1"/>
    <col min="6" max="6" width="12.44140625" bestFit="1" customWidth="1"/>
    <col min="7" max="7" width="7.88671875" style="10" bestFit="1" customWidth="1"/>
    <col min="8" max="8" width="8.6640625" bestFit="1" customWidth="1"/>
    <col min="9" max="9" width="12.44140625" bestFit="1" customWidth="1"/>
    <col min="11" max="11" width="11.88671875" bestFit="1" customWidth="1"/>
    <col min="12" max="12" width="7.109375" bestFit="1" customWidth="1"/>
  </cols>
  <sheetData>
    <row r="1" spans="1:12" s="1" customFormat="1" x14ac:dyDescent="0.25">
      <c r="A1" s="77" t="s">
        <v>241</v>
      </c>
      <c r="B1" s="179"/>
      <c r="C1" s="76" t="s">
        <v>243</v>
      </c>
      <c r="E1" s="3" t="s">
        <v>245</v>
      </c>
      <c r="G1" s="76" t="s">
        <v>45</v>
      </c>
      <c r="H1" s="75">
        <f>SUMIF($C$5:$C$80,G1,$A$5:$A$80)</f>
        <v>0</v>
      </c>
      <c r="I1" s="76" t="s">
        <v>47</v>
      </c>
      <c r="J1" s="75">
        <f>SUMIF($C$5:$C$80,I1,$A$5:$A$80)</f>
        <v>3549.25</v>
      </c>
      <c r="K1" s="76" t="s">
        <v>49</v>
      </c>
      <c r="L1" s="75">
        <f>SUMIF($C$5:$C$80,K1,$A$5:$A$80)</f>
        <v>349.5</v>
      </c>
    </row>
    <row r="2" spans="1:12" s="1" customFormat="1" x14ac:dyDescent="0.25">
      <c r="A2" s="77" t="s">
        <v>242</v>
      </c>
      <c r="B2" s="179"/>
      <c r="C2" s="76" t="s">
        <v>244</v>
      </c>
      <c r="E2" s="3" t="s">
        <v>246</v>
      </c>
      <c r="G2" s="76" t="s">
        <v>44</v>
      </c>
      <c r="H2" s="75">
        <f>SUMIF($C$5:$C$80,G2,$A$5:$A$80)</f>
        <v>2647.2500000000005</v>
      </c>
      <c r="I2" s="76" t="s">
        <v>48</v>
      </c>
      <c r="J2" s="75">
        <f>SUMIF($C$5:$C$80,I2,$A$5:$A$80)</f>
        <v>4029.06</v>
      </c>
      <c r="K2" s="76" t="s">
        <v>50</v>
      </c>
      <c r="L2" s="75">
        <f>SUMIF($C$5:$C$80,K2,$A$5:$A$80)</f>
        <v>0</v>
      </c>
    </row>
    <row r="3" spans="1:12" s="71" customFormat="1" x14ac:dyDescent="0.25">
      <c r="A3" s="69"/>
      <c r="B3" s="180"/>
      <c r="C3" s="70"/>
      <c r="G3" s="72"/>
    </row>
    <row r="4" spans="1:12" x14ac:dyDescent="0.25">
      <c r="A4" s="219" t="s">
        <v>3</v>
      </c>
      <c r="B4" s="219"/>
      <c r="C4" s="13">
        <f>DSUM(A5:B134,A5,F4:G5)</f>
        <v>10575.059999999998</v>
      </c>
      <c r="D4">
        <f>COUNTA(B6:B80)</f>
        <v>75</v>
      </c>
      <c r="E4" s="94">
        <f>C4/D4</f>
        <v>141.00079999999997</v>
      </c>
      <c r="G4" s="75"/>
      <c r="H4" s="92" t="s">
        <v>5</v>
      </c>
      <c r="I4" s="93" t="s">
        <v>9</v>
      </c>
      <c r="J4" s="1"/>
      <c r="K4" s="1"/>
      <c r="L4">
        <v>75</v>
      </c>
    </row>
    <row r="5" spans="1:12" ht="13.8" thickBot="1" x14ac:dyDescent="0.3">
      <c r="A5" s="20" t="s">
        <v>5</v>
      </c>
      <c r="B5" s="188" t="s">
        <v>9</v>
      </c>
      <c r="C5" s="21" t="s">
        <v>43</v>
      </c>
      <c r="D5" s="177" t="s">
        <v>221</v>
      </c>
      <c r="F5" s="10"/>
      <c r="G5" s="75"/>
      <c r="H5" s="1"/>
      <c r="I5" s="1"/>
      <c r="J5" s="1"/>
      <c r="K5" s="1"/>
    </row>
    <row r="6" spans="1:12" x14ac:dyDescent="0.25">
      <c r="A6" s="8">
        <v>204.4</v>
      </c>
      <c r="B6" s="181" t="s">
        <v>332</v>
      </c>
      <c r="C6" s="120" t="s">
        <v>49</v>
      </c>
      <c r="D6" s="191">
        <v>75</v>
      </c>
      <c r="F6" s="10"/>
      <c r="G6" s="75"/>
      <c r="H6" s="1"/>
      <c r="I6" s="1"/>
      <c r="J6" s="1"/>
      <c r="K6" s="1"/>
    </row>
    <row r="7" spans="1:12" x14ac:dyDescent="0.25">
      <c r="A7" s="8">
        <v>145.1</v>
      </c>
      <c r="B7" s="181" t="s">
        <v>327</v>
      </c>
      <c r="C7" s="120" t="s">
        <v>49</v>
      </c>
      <c r="D7" s="191">
        <v>74</v>
      </c>
      <c r="F7" s="10"/>
      <c r="G7" s="75"/>
      <c r="H7" s="1"/>
      <c r="I7" s="1"/>
      <c r="J7" s="1"/>
      <c r="K7" s="1"/>
    </row>
    <row r="8" spans="1:12" x14ac:dyDescent="0.25">
      <c r="A8" s="8">
        <v>583.5</v>
      </c>
      <c r="B8" s="181" t="s">
        <v>320</v>
      </c>
      <c r="C8" s="120" t="s">
        <v>48</v>
      </c>
      <c r="D8" s="191">
        <v>73</v>
      </c>
      <c r="F8" s="10"/>
      <c r="G8" s="75"/>
      <c r="H8" s="1"/>
      <c r="I8" s="1"/>
      <c r="J8" s="1"/>
      <c r="K8" s="1"/>
    </row>
    <row r="9" spans="1:12" x14ac:dyDescent="0.25">
      <c r="A9" s="8">
        <v>77.2</v>
      </c>
      <c r="B9" s="181" t="s">
        <v>317</v>
      </c>
      <c r="C9" s="120" t="s">
        <v>48</v>
      </c>
      <c r="D9" s="191">
        <v>72</v>
      </c>
      <c r="F9" s="10"/>
      <c r="G9" s="75"/>
      <c r="H9" s="1"/>
      <c r="I9" s="1"/>
      <c r="J9" s="1"/>
      <c r="K9" s="1"/>
    </row>
    <row r="10" spans="1:12" x14ac:dyDescent="0.25">
      <c r="A10" s="8">
        <v>132.5</v>
      </c>
      <c r="B10" s="181" t="s">
        <v>316</v>
      </c>
      <c r="C10" s="120" t="s">
        <v>48</v>
      </c>
      <c r="D10" s="191">
        <v>71</v>
      </c>
      <c r="F10" s="10"/>
      <c r="G10" s="75"/>
      <c r="H10" s="1"/>
      <c r="I10" s="1"/>
      <c r="J10" s="1"/>
      <c r="K10" s="1"/>
    </row>
    <row r="11" spans="1:12" x14ac:dyDescent="0.25">
      <c r="A11" s="8">
        <v>76.900000000000006</v>
      </c>
      <c r="B11" s="181" t="s">
        <v>315</v>
      </c>
      <c r="C11" s="120" t="s">
        <v>48</v>
      </c>
      <c r="D11" s="191">
        <v>70</v>
      </c>
      <c r="F11" s="10"/>
      <c r="G11" s="75"/>
      <c r="H11" s="1"/>
      <c r="I11" s="1"/>
      <c r="J11" s="1"/>
      <c r="K11" s="1"/>
    </row>
    <row r="12" spans="1:12" x14ac:dyDescent="0.25">
      <c r="A12" s="8">
        <v>296.2</v>
      </c>
      <c r="B12" s="181" t="s">
        <v>314</v>
      </c>
      <c r="C12" s="120" t="s">
        <v>48</v>
      </c>
      <c r="D12" s="191">
        <v>69</v>
      </c>
      <c r="F12" s="10"/>
      <c r="G12" s="75"/>
      <c r="H12" s="1"/>
      <c r="I12" s="1"/>
      <c r="J12" s="1"/>
      <c r="K12" s="1"/>
    </row>
    <row r="13" spans="1:12" x14ac:dyDescent="0.25">
      <c r="A13" s="8">
        <v>110.5</v>
      </c>
      <c r="B13" s="181" t="s">
        <v>309</v>
      </c>
      <c r="C13" s="120" t="s">
        <v>48</v>
      </c>
      <c r="D13" s="191">
        <v>68</v>
      </c>
      <c r="F13" s="10"/>
      <c r="G13" s="75"/>
      <c r="H13" s="1"/>
      <c r="I13" s="1"/>
      <c r="J13" s="1"/>
      <c r="K13" s="1"/>
    </row>
    <row r="14" spans="1:12" x14ac:dyDescent="0.25">
      <c r="A14" s="8">
        <v>43.1</v>
      </c>
      <c r="B14" s="181" t="s">
        <v>310</v>
      </c>
      <c r="C14" s="120" t="s">
        <v>48</v>
      </c>
      <c r="D14" s="178">
        <v>67</v>
      </c>
      <c r="F14" s="10"/>
      <c r="G14" s="75"/>
      <c r="H14" s="1"/>
      <c r="I14" s="1"/>
      <c r="J14" s="1"/>
      <c r="K14" s="1"/>
    </row>
    <row r="15" spans="1:12" x14ac:dyDescent="0.25">
      <c r="A15" s="8">
        <v>109.9</v>
      </c>
      <c r="B15" s="181" t="s">
        <v>306</v>
      </c>
      <c r="C15" s="120" t="s">
        <v>48</v>
      </c>
      <c r="D15" s="178">
        <v>66</v>
      </c>
      <c r="F15" s="10"/>
      <c r="G15" s="75"/>
      <c r="H15" s="1"/>
      <c r="I15" s="1"/>
      <c r="J15" s="1"/>
      <c r="K15" s="1"/>
    </row>
    <row r="16" spans="1:12" x14ac:dyDescent="0.25">
      <c r="A16" s="8">
        <v>25.4</v>
      </c>
      <c r="B16" s="181" t="s">
        <v>302</v>
      </c>
      <c r="C16" s="120" t="s">
        <v>48</v>
      </c>
      <c r="D16" s="178">
        <v>65</v>
      </c>
      <c r="F16" s="10"/>
      <c r="G16" s="75"/>
      <c r="H16" s="1"/>
      <c r="I16" s="1"/>
      <c r="J16" s="1"/>
      <c r="K16" s="1"/>
    </row>
    <row r="17" spans="1:11" x14ac:dyDescent="0.25">
      <c r="A17" s="8">
        <v>101.5</v>
      </c>
      <c r="B17" s="181" t="s">
        <v>301</v>
      </c>
      <c r="C17" s="120" t="s">
        <v>48</v>
      </c>
      <c r="D17" s="178">
        <v>64</v>
      </c>
      <c r="F17" s="10"/>
      <c r="G17" s="75"/>
      <c r="H17" s="1"/>
      <c r="I17" s="1"/>
      <c r="J17" s="1"/>
      <c r="K17" s="1"/>
    </row>
    <row r="18" spans="1:11" x14ac:dyDescent="0.25">
      <c r="A18" s="8">
        <v>278.60000000000002</v>
      </c>
      <c r="B18" s="181" t="s">
        <v>299</v>
      </c>
      <c r="C18" s="120" t="s">
        <v>48</v>
      </c>
      <c r="D18" s="178">
        <v>63</v>
      </c>
      <c r="F18" s="10"/>
      <c r="G18" s="75"/>
      <c r="H18" s="1"/>
      <c r="I18" s="1"/>
      <c r="J18" s="1"/>
      <c r="K18" s="1"/>
    </row>
    <row r="19" spans="1:11" x14ac:dyDescent="0.25">
      <c r="A19" s="8">
        <v>225.89</v>
      </c>
      <c r="B19" s="181" t="s">
        <v>290</v>
      </c>
      <c r="C19" s="120" t="s">
        <v>48</v>
      </c>
      <c r="D19" s="178">
        <v>62</v>
      </c>
      <c r="F19" s="10"/>
      <c r="G19" s="75"/>
      <c r="H19" s="1"/>
      <c r="I19" s="1"/>
      <c r="J19" s="1"/>
      <c r="K19" s="1"/>
    </row>
    <row r="20" spans="1:11" x14ac:dyDescent="0.25">
      <c r="A20" s="8">
        <v>36.79</v>
      </c>
      <c r="B20" s="181" t="s">
        <v>289</v>
      </c>
      <c r="C20" s="120" t="s">
        <v>48</v>
      </c>
      <c r="D20" s="178">
        <v>61</v>
      </c>
      <c r="F20" s="10"/>
      <c r="G20" s="75"/>
      <c r="H20" s="1"/>
      <c r="I20" s="1"/>
      <c r="J20" s="1"/>
      <c r="K20" s="1"/>
    </row>
    <row r="21" spans="1:11" x14ac:dyDescent="0.25">
      <c r="A21" s="8">
        <v>75.5</v>
      </c>
      <c r="B21" s="181" t="s">
        <v>265</v>
      </c>
      <c r="C21" s="120" t="s">
        <v>48</v>
      </c>
      <c r="D21" s="178">
        <v>60</v>
      </c>
      <c r="F21" s="10"/>
      <c r="G21" s="75"/>
      <c r="H21" s="1"/>
      <c r="I21" s="1"/>
      <c r="J21" s="1"/>
      <c r="K21" s="1"/>
    </row>
    <row r="22" spans="1:11" x14ac:dyDescent="0.25">
      <c r="A22" s="8">
        <v>38</v>
      </c>
      <c r="B22" s="181" t="s">
        <v>261</v>
      </c>
      <c r="C22" s="120" t="s">
        <v>48</v>
      </c>
      <c r="D22" s="178">
        <v>59</v>
      </c>
      <c r="F22" s="10"/>
      <c r="G22" s="75"/>
      <c r="H22" s="1"/>
      <c r="I22" s="1"/>
      <c r="J22" s="1"/>
      <c r="K22" s="1"/>
    </row>
    <row r="23" spans="1:11" x14ac:dyDescent="0.25">
      <c r="A23" s="8">
        <v>195</v>
      </c>
      <c r="B23" s="181" t="s">
        <v>260</v>
      </c>
      <c r="C23" s="120" t="s">
        <v>48</v>
      </c>
      <c r="D23" s="178">
        <v>58</v>
      </c>
      <c r="F23" s="10"/>
      <c r="G23" s="75"/>
      <c r="H23" s="1"/>
      <c r="I23" s="1"/>
      <c r="J23" s="1"/>
      <c r="K23" s="1"/>
    </row>
    <row r="24" spans="1:11" x14ac:dyDescent="0.25">
      <c r="A24" s="8">
        <v>219.69</v>
      </c>
      <c r="B24" s="182" t="s">
        <v>256</v>
      </c>
      <c r="C24" s="23" t="s">
        <v>48</v>
      </c>
      <c r="D24" s="178">
        <v>57</v>
      </c>
      <c r="F24" s="10"/>
      <c r="G24" s="75"/>
      <c r="H24" s="1"/>
      <c r="I24" s="1"/>
      <c r="J24" s="1"/>
      <c r="K24" s="1"/>
    </row>
    <row r="25" spans="1:11" x14ac:dyDescent="0.25">
      <c r="A25" s="8">
        <v>125.5</v>
      </c>
      <c r="B25" s="182" t="s">
        <v>255</v>
      </c>
      <c r="C25" s="23" t="s">
        <v>48</v>
      </c>
      <c r="D25" s="178">
        <v>56</v>
      </c>
      <c r="F25" s="10"/>
      <c r="G25" s="75"/>
      <c r="H25" s="1"/>
      <c r="I25" s="1"/>
      <c r="J25" s="1"/>
      <c r="K25" s="1"/>
    </row>
    <row r="26" spans="1:11" x14ac:dyDescent="0.25">
      <c r="A26" s="8">
        <v>142.6</v>
      </c>
      <c r="B26" s="186">
        <v>43687</v>
      </c>
      <c r="C26" s="23" t="s">
        <v>48</v>
      </c>
      <c r="D26" s="178">
        <v>55</v>
      </c>
      <c r="F26" s="10"/>
      <c r="G26" s="75"/>
      <c r="H26" s="1"/>
      <c r="I26" s="1"/>
      <c r="J26" s="1"/>
      <c r="K26" s="1"/>
    </row>
    <row r="27" spans="1:11" x14ac:dyDescent="0.25">
      <c r="A27" s="8">
        <v>54</v>
      </c>
      <c r="B27" s="182" t="s">
        <v>238</v>
      </c>
      <c r="C27" s="23" t="s">
        <v>48</v>
      </c>
      <c r="D27" s="178">
        <v>54</v>
      </c>
      <c r="F27" s="10"/>
      <c r="G27" s="75"/>
      <c r="H27" s="1"/>
      <c r="I27" s="1"/>
      <c r="J27" s="1"/>
      <c r="K27" s="1"/>
    </row>
    <row r="28" spans="1:11" x14ac:dyDescent="0.25">
      <c r="A28" s="8">
        <v>144.5</v>
      </c>
      <c r="B28" s="182" t="s">
        <v>237</v>
      </c>
      <c r="C28" s="23" t="s">
        <v>48</v>
      </c>
      <c r="D28" s="178">
        <v>53</v>
      </c>
      <c r="F28" s="10"/>
      <c r="G28" s="75"/>
      <c r="H28" s="1"/>
      <c r="I28" s="1"/>
      <c r="J28" s="1"/>
      <c r="K28" s="1"/>
    </row>
    <row r="29" spans="1:11" x14ac:dyDescent="0.25">
      <c r="A29" s="8">
        <v>439.6</v>
      </c>
      <c r="B29" s="186">
        <v>43743</v>
      </c>
      <c r="C29" s="23" t="s">
        <v>48</v>
      </c>
      <c r="D29" s="178">
        <v>52</v>
      </c>
      <c r="F29" s="10"/>
      <c r="G29" s="75"/>
      <c r="H29" s="1"/>
      <c r="I29" s="1"/>
      <c r="J29" s="1"/>
    </row>
    <row r="30" spans="1:11" x14ac:dyDescent="0.25">
      <c r="A30" s="8">
        <v>265.49</v>
      </c>
      <c r="B30" s="182" t="s">
        <v>231</v>
      </c>
      <c r="C30" s="23" t="s">
        <v>48</v>
      </c>
      <c r="D30" s="178">
        <v>51</v>
      </c>
      <c r="F30" s="10"/>
      <c r="G30" s="75"/>
      <c r="H30" s="1"/>
      <c r="I30" s="1"/>
      <c r="J30" s="1"/>
    </row>
    <row r="31" spans="1:11" x14ac:dyDescent="0.25">
      <c r="A31" s="8">
        <v>55.9</v>
      </c>
      <c r="B31" s="182" t="s">
        <v>232</v>
      </c>
      <c r="C31" s="23" t="s">
        <v>48</v>
      </c>
      <c r="D31" s="178">
        <v>50</v>
      </c>
      <c r="F31" s="10"/>
      <c r="G31" s="75"/>
      <c r="H31" s="1"/>
      <c r="I31" s="1"/>
      <c r="J31" s="1"/>
    </row>
    <row r="32" spans="1:11" x14ac:dyDescent="0.25">
      <c r="A32" s="8">
        <v>128.4</v>
      </c>
      <c r="B32" s="182" t="s">
        <v>228</v>
      </c>
      <c r="C32" s="23" t="s">
        <v>48</v>
      </c>
      <c r="D32" s="178">
        <v>49</v>
      </c>
      <c r="F32" s="10"/>
      <c r="G32" s="75"/>
      <c r="H32" s="1"/>
      <c r="I32" s="1"/>
      <c r="J32" s="1"/>
    </row>
    <row r="33" spans="1:10" x14ac:dyDescent="0.25">
      <c r="A33" s="8">
        <v>46.9</v>
      </c>
      <c r="B33" s="182" t="s">
        <v>223</v>
      </c>
      <c r="C33" s="23" t="s">
        <v>48</v>
      </c>
      <c r="D33" s="178">
        <v>48</v>
      </c>
      <c r="F33" s="10"/>
      <c r="G33" s="75"/>
      <c r="H33" s="1"/>
      <c r="I33" s="1"/>
      <c r="J33" s="1"/>
    </row>
    <row r="34" spans="1:10" x14ac:dyDescent="0.25">
      <c r="A34" s="8">
        <v>255.8</v>
      </c>
      <c r="B34" s="182" t="s">
        <v>220</v>
      </c>
      <c r="C34" s="23" t="s">
        <v>47</v>
      </c>
      <c r="D34" s="178">
        <v>47</v>
      </c>
      <c r="F34" s="10"/>
    </row>
    <row r="35" spans="1:10" x14ac:dyDescent="0.25">
      <c r="A35" s="8">
        <v>159.4</v>
      </c>
      <c r="B35" s="182" t="s">
        <v>210</v>
      </c>
      <c r="C35" s="23" t="s">
        <v>47</v>
      </c>
      <c r="D35" s="178">
        <v>46</v>
      </c>
      <c r="F35" s="10"/>
    </row>
    <row r="36" spans="1:10" x14ac:dyDescent="0.25">
      <c r="A36" s="8">
        <v>265.7</v>
      </c>
      <c r="B36" s="182" t="s">
        <v>204</v>
      </c>
      <c r="C36" s="23" t="s">
        <v>47</v>
      </c>
      <c r="D36" s="178">
        <v>45</v>
      </c>
      <c r="F36" s="10"/>
    </row>
    <row r="37" spans="1:10" x14ac:dyDescent="0.25">
      <c r="A37" s="8">
        <v>16</v>
      </c>
      <c r="B37" s="182" t="s">
        <v>202</v>
      </c>
      <c r="C37" s="23" t="s">
        <v>47</v>
      </c>
      <c r="D37" s="178">
        <v>44</v>
      </c>
      <c r="F37" s="10"/>
    </row>
    <row r="38" spans="1:10" x14ac:dyDescent="0.25">
      <c r="A38" s="8">
        <v>92.5</v>
      </c>
      <c r="B38" s="182" t="s">
        <v>200</v>
      </c>
      <c r="C38" s="23" t="s">
        <v>47</v>
      </c>
      <c r="D38" s="178">
        <v>43</v>
      </c>
      <c r="F38" s="10"/>
    </row>
    <row r="39" spans="1:10" x14ac:dyDescent="0.25">
      <c r="A39" s="8">
        <v>9.3000000000000007</v>
      </c>
      <c r="B39" s="182" t="s">
        <v>193</v>
      </c>
      <c r="C39" s="23" t="s">
        <v>47</v>
      </c>
      <c r="D39" s="178">
        <v>42</v>
      </c>
      <c r="F39" s="10"/>
    </row>
    <row r="40" spans="1:10" x14ac:dyDescent="0.25">
      <c r="A40" s="8">
        <v>70.8</v>
      </c>
      <c r="B40" s="182" t="s">
        <v>199</v>
      </c>
      <c r="C40" s="23" t="s">
        <v>47</v>
      </c>
      <c r="D40" s="178">
        <v>41</v>
      </c>
      <c r="F40" s="10"/>
    </row>
    <row r="41" spans="1:10" x14ac:dyDescent="0.25">
      <c r="A41" s="8">
        <v>252.7</v>
      </c>
      <c r="B41" s="182" t="s">
        <v>196</v>
      </c>
      <c r="C41" s="23" t="s">
        <v>47</v>
      </c>
      <c r="D41" s="178">
        <v>40</v>
      </c>
      <c r="F41" s="10"/>
    </row>
    <row r="42" spans="1:10" x14ac:dyDescent="0.25">
      <c r="A42" s="8">
        <v>175.1</v>
      </c>
      <c r="B42" s="182" t="s">
        <v>192</v>
      </c>
      <c r="C42" s="23" t="s">
        <v>47</v>
      </c>
      <c r="D42" s="178">
        <v>39</v>
      </c>
      <c r="F42" s="10"/>
    </row>
    <row r="43" spans="1:10" x14ac:dyDescent="0.25">
      <c r="A43" s="8">
        <v>105.6</v>
      </c>
      <c r="B43" s="182" t="s">
        <v>194</v>
      </c>
      <c r="C43" s="23" t="s">
        <v>47</v>
      </c>
      <c r="D43" s="178">
        <v>38</v>
      </c>
      <c r="F43" s="10"/>
    </row>
    <row r="44" spans="1:10" x14ac:dyDescent="0.25">
      <c r="A44" s="8">
        <v>103.8</v>
      </c>
      <c r="B44" s="183" t="s">
        <v>101</v>
      </c>
      <c r="C44" s="14" t="s">
        <v>47</v>
      </c>
      <c r="D44" s="178">
        <v>37</v>
      </c>
      <c r="F44" s="10"/>
    </row>
    <row r="45" spans="1:10" x14ac:dyDescent="0.25">
      <c r="A45" s="8">
        <v>77.900000000000006</v>
      </c>
      <c r="B45" s="183" t="s">
        <v>97</v>
      </c>
      <c r="C45" s="14" t="s">
        <v>47</v>
      </c>
      <c r="D45" s="178">
        <v>36</v>
      </c>
      <c r="F45" s="10"/>
    </row>
    <row r="46" spans="1:10" x14ac:dyDescent="0.25">
      <c r="A46" s="8">
        <v>130.65</v>
      </c>
      <c r="B46" s="183" t="s">
        <v>92</v>
      </c>
      <c r="C46" s="14" t="s">
        <v>47</v>
      </c>
      <c r="D46" s="178">
        <v>35</v>
      </c>
      <c r="F46" s="10"/>
    </row>
    <row r="47" spans="1:10" x14ac:dyDescent="0.25">
      <c r="A47" s="8">
        <v>246.5</v>
      </c>
      <c r="B47" s="183" t="s">
        <v>88</v>
      </c>
      <c r="C47" s="14" t="s">
        <v>47</v>
      </c>
      <c r="D47" s="178">
        <v>34</v>
      </c>
      <c r="F47" s="10"/>
    </row>
    <row r="48" spans="1:10" x14ac:dyDescent="0.25">
      <c r="A48" s="8">
        <v>297.2</v>
      </c>
      <c r="B48" s="183" t="s">
        <v>84</v>
      </c>
      <c r="C48" s="14" t="s">
        <v>47</v>
      </c>
      <c r="D48" s="178">
        <v>33</v>
      </c>
      <c r="F48" s="10"/>
    </row>
    <row r="49" spans="1:6" x14ac:dyDescent="0.25">
      <c r="A49" s="8">
        <v>32.1</v>
      </c>
      <c r="B49" s="183" t="s">
        <v>80</v>
      </c>
      <c r="C49" s="14" t="s">
        <v>47</v>
      </c>
      <c r="D49" s="178">
        <v>32</v>
      </c>
      <c r="F49" s="10"/>
    </row>
    <row r="50" spans="1:6" x14ac:dyDescent="0.25">
      <c r="A50" s="8">
        <v>164.4</v>
      </c>
      <c r="B50" s="183" t="s">
        <v>77</v>
      </c>
      <c r="C50" s="14" t="s">
        <v>47</v>
      </c>
      <c r="D50" s="178">
        <v>31</v>
      </c>
      <c r="F50" s="10"/>
    </row>
    <row r="51" spans="1:6" x14ac:dyDescent="0.25">
      <c r="A51" s="8">
        <v>12.1</v>
      </c>
      <c r="B51" s="183" t="s">
        <v>75</v>
      </c>
      <c r="C51" s="14" t="s">
        <v>47</v>
      </c>
      <c r="D51" s="178">
        <v>30</v>
      </c>
      <c r="F51" s="10"/>
    </row>
    <row r="52" spans="1:6" x14ac:dyDescent="0.25">
      <c r="A52" s="8">
        <v>33.299999999999997</v>
      </c>
      <c r="B52" s="183" t="s">
        <v>74</v>
      </c>
      <c r="C52" s="14" t="s">
        <v>47</v>
      </c>
      <c r="D52" s="178">
        <v>29</v>
      </c>
      <c r="F52" s="10"/>
    </row>
    <row r="53" spans="1:6" x14ac:dyDescent="0.25">
      <c r="A53" s="8">
        <v>275.39999999999998</v>
      </c>
      <c r="B53" s="183" t="s">
        <v>72</v>
      </c>
      <c r="C53" s="14" t="s">
        <v>47</v>
      </c>
      <c r="D53" s="178">
        <v>28</v>
      </c>
      <c r="F53" s="10"/>
    </row>
    <row r="54" spans="1:6" x14ac:dyDescent="0.25">
      <c r="A54" s="8">
        <v>267.8</v>
      </c>
      <c r="B54" s="183" t="s">
        <v>70</v>
      </c>
      <c r="C54" s="14" t="s">
        <v>47</v>
      </c>
      <c r="D54" s="178">
        <v>27</v>
      </c>
      <c r="F54" s="10"/>
    </row>
    <row r="55" spans="1:6" x14ac:dyDescent="0.25">
      <c r="A55" s="8">
        <v>108</v>
      </c>
      <c r="B55" s="183" t="s">
        <v>69</v>
      </c>
      <c r="C55" s="14" t="s">
        <v>47</v>
      </c>
      <c r="D55" s="178">
        <v>26</v>
      </c>
      <c r="F55" s="10"/>
    </row>
    <row r="56" spans="1:6" x14ac:dyDescent="0.25">
      <c r="A56" s="8">
        <v>74</v>
      </c>
      <c r="B56" s="183" t="s">
        <v>67</v>
      </c>
      <c r="C56" s="14" t="s">
        <v>47</v>
      </c>
      <c r="D56" s="178">
        <v>25</v>
      </c>
      <c r="F56" s="10"/>
    </row>
    <row r="57" spans="1:6" x14ac:dyDescent="0.25">
      <c r="A57" s="8">
        <v>46</v>
      </c>
      <c r="B57" s="183" t="s">
        <v>63</v>
      </c>
      <c r="C57" s="14" t="s">
        <v>47</v>
      </c>
      <c r="D57" s="178">
        <v>24</v>
      </c>
      <c r="F57" s="10"/>
    </row>
    <row r="58" spans="1:6" x14ac:dyDescent="0.25">
      <c r="A58" s="8">
        <v>17.5</v>
      </c>
      <c r="B58" s="183" t="s">
        <v>64</v>
      </c>
      <c r="C58" s="14" t="s">
        <v>47</v>
      </c>
      <c r="D58" s="178">
        <v>23</v>
      </c>
      <c r="F58" s="10"/>
    </row>
    <row r="59" spans="1:6" x14ac:dyDescent="0.25">
      <c r="A59" s="8">
        <v>259.7</v>
      </c>
      <c r="B59" s="183" t="s">
        <v>56</v>
      </c>
      <c r="C59" s="14" t="s">
        <v>47</v>
      </c>
      <c r="D59" s="178">
        <v>22</v>
      </c>
      <c r="F59" s="10"/>
    </row>
    <row r="60" spans="1:6" x14ac:dyDescent="0.25">
      <c r="A60" s="104">
        <v>215.7</v>
      </c>
      <c r="B60" s="189" t="s">
        <v>313</v>
      </c>
      <c r="C60" s="14" t="s">
        <v>44</v>
      </c>
      <c r="D60" s="178">
        <v>21</v>
      </c>
      <c r="F60" s="10"/>
    </row>
    <row r="61" spans="1:6" x14ac:dyDescent="0.25">
      <c r="A61" s="104">
        <v>131.6</v>
      </c>
      <c r="B61" s="189">
        <v>43707</v>
      </c>
      <c r="C61" s="14" t="s">
        <v>44</v>
      </c>
      <c r="D61" s="178">
        <v>20</v>
      </c>
      <c r="F61" s="10"/>
    </row>
    <row r="62" spans="1:6" x14ac:dyDescent="0.25">
      <c r="A62" s="104">
        <v>179.2</v>
      </c>
      <c r="B62" s="189">
        <v>43706</v>
      </c>
      <c r="C62" s="14" t="s">
        <v>44</v>
      </c>
      <c r="D62" s="178">
        <v>19</v>
      </c>
      <c r="F62" s="10"/>
    </row>
    <row r="63" spans="1:6" x14ac:dyDescent="0.25">
      <c r="A63" s="104">
        <v>201.3</v>
      </c>
      <c r="B63" s="189">
        <v>43705</v>
      </c>
      <c r="C63" s="14" t="s">
        <v>44</v>
      </c>
      <c r="D63" s="178">
        <v>18</v>
      </c>
      <c r="F63" s="10"/>
    </row>
    <row r="64" spans="1:6" x14ac:dyDescent="0.25">
      <c r="A64" s="187">
        <v>81</v>
      </c>
      <c r="B64" s="190">
        <v>43704</v>
      </c>
      <c r="C64" s="68" t="s">
        <v>44</v>
      </c>
      <c r="D64" s="178">
        <v>17</v>
      </c>
      <c r="F64" s="10"/>
    </row>
    <row r="65" spans="1:4" x14ac:dyDescent="0.25">
      <c r="A65" s="187">
        <v>51</v>
      </c>
      <c r="B65" s="190">
        <v>43703</v>
      </c>
      <c r="C65" s="68" t="s">
        <v>44</v>
      </c>
      <c r="D65" s="178">
        <v>16</v>
      </c>
    </row>
    <row r="66" spans="1:4" x14ac:dyDescent="0.25">
      <c r="A66" s="187">
        <v>254.1</v>
      </c>
      <c r="B66" s="190">
        <v>43702</v>
      </c>
      <c r="C66" s="68" t="s">
        <v>44</v>
      </c>
      <c r="D66" s="178">
        <v>15</v>
      </c>
    </row>
    <row r="67" spans="1:4" x14ac:dyDescent="0.25">
      <c r="A67" s="187">
        <v>109.7</v>
      </c>
      <c r="B67" s="190">
        <v>43701</v>
      </c>
      <c r="C67" s="68" t="s">
        <v>44</v>
      </c>
      <c r="D67" s="178">
        <v>14</v>
      </c>
    </row>
    <row r="68" spans="1:4" x14ac:dyDescent="0.25">
      <c r="A68" s="187">
        <v>103.1</v>
      </c>
      <c r="B68" s="190">
        <v>43700</v>
      </c>
      <c r="C68" s="68" t="s">
        <v>44</v>
      </c>
      <c r="D68" s="178">
        <v>13</v>
      </c>
    </row>
    <row r="69" spans="1:4" x14ac:dyDescent="0.25">
      <c r="A69" s="187">
        <v>47.4</v>
      </c>
      <c r="B69" s="190">
        <v>43699</v>
      </c>
      <c r="C69" s="68" t="s">
        <v>44</v>
      </c>
      <c r="D69" s="178">
        <v>12</v>
      </c>
    </row>
    <row r="70" spans="1:4" x14ac:dyDescent="0.25">
      <c r="A70" s="187">
        <v>217.5</v>
      </c>
      <c r="B70" s="190">
        <v>43698</v>
      </c>
      <c r="C70" s="68" t="s">
        <v>44</v>
      </c>
      <c r="D70" s="178">
        <v>11</v>
      </c>
    </row>
    <row r="71" spans="1:4" x14ac:dyDescent="0.25">
      <c r="A71" s="187">
        <v>120.5</v>
      </c>
      <c r="B71" s="190">
        <v>43697</v>
      </c>
      <c r="C71" s="68" t="s">
        <v>44</v>
      </c>
      <c r="D71" s="178">
        <v>10</v>
      </c>
    </row>
    <row r="72" spans="1:4" x14ac:dyDescent="0.25">
      <c r="A72" s="187">
        <v>35</v>
      </c>
      <c r="B72" s="190">
        <v>43696</v>
      </c>
      <c r="C72" s="68" t="s">
        <v>44</v>
      </c>
      <c r="D72" s="178">
        <v>9</v>
      </c>
    </row>
    <row r="73" spans="1:4" x14ac:dyDescent="0.25">
      <c r="A73" s="187">
        <v>189.9</v>
      </c>
      <c r="B73" s="190">
        <v>43695</v>
      </c>
      <c r="C73" s="68" t="s">
        <v>44</v>
      </c>
      <c r="D73" s="178">
        <v>8</v>
      </c>
    </row>
    <row r="74" spans="1:4" x14ac:dyDescent="0.25">
      <c r="A74" s="187">
        <v>103.7</v>
      </c>
      <c r="B74" s="190">
        <v>43694</v>
      </c>
      <c r="C74" s="68" t="s">
        <v>44</v>
      </c>
      <c r="D74" s="178">
        <v>7</v>
      </c>
    </row>
    <row r="75" spans="1:4" x14ac:dyDescent="0.25">
      <c r="A75" s="187">
        <v>133.4</v>
      </c>
      <c r="B75" s="190">
        <v>43693</v>
      </c>
      <c r="C75" s="68" t="s">
        <v>44</v>
      </c>
      <c r="D75" s="178">
        <v>6</v>
      </c>
    </row>
    <row r="76" spans="1:4" x14ac:dyDescent="0.25">
      <c r="A76" s="187">
        <v>50.9</v>
      </c>
      <c r="B76" s="190">
        <v>43692</v>
      </c>
      <c r="C76" s="68" t="s">
        <v>44</v>
      </c>
      <c r="D76" s="178">
        <v>5</v>
      </c>
    </row>
    <row r="77" spans="1:4" x14ac:dyDescent="0.25">
      <c r="A77" s="187">
        <v>73.05</v>
      </c>
      <c r="B77" s="190">
        <v>43691</v>
      </c>
      <c r="C77" s="68" t="s">
        <v>44</v>
      </c>
      <c r="D77" s="178">
        <v>4</v>
      </c>
    </row>
    <row r="78" spans="1:4" x14ac:dyDescent="0.25">
      <c r="A78" s="187">
        <v>126.9</v>
      </c>
      <c r="B78" s="190">
        <v>43690</v>
      </c>
      <c r="C78" s="68" t="s">
        <v>44</v>
      </c>
      <c r="D78" s="178">
        <v>3</v>
      </c>
    </row>
    <row r="79" spans="1:4" x14ac:dyDescent="0.25">
      <c r="A79" s="187">
        <v>110.5</v>
      </c>
      <c r="B79" s="190">
        <v>43689</v>
      </c>
      <c r="C79" s="68" t="s">
        <v>44</v>
      </c>
      <c r="D79" s="178">
        <v>2</v>
      </c>
    </row>
    <row r="80" spans="1:4" x14ac:dyDescent="0.25">
      <c r="A80" s="187">
        <v>111.8</v>
      </c>
      <c r="B80" s="190">
        <v>43688</v>
      </c>
      <c r="C80" s="68" t="s">
        <v>44</v>
      </c>
      <c r="D80" s="178">
        <v>1</v>
      </c>
    </row>
    <row r="81" spans="1:1" x14ac:dyDescent="0.25">
      <c r="A81" s="187"/>
    </row>
  </sheetData>
  <mergeCells count="1">
    <mergeCell ref="A4:B4"/>
  </mergeCells>
  <dataValidations disablePrompts="1" count="1">
    <dataValidation operator="notEqual" allowBlank="1" showErrorMessage="1" sqref="A68:A80 A66" xr:uid="{00000000-0002-0000-0200-000000000000}">
      <formula1>0</formula1>
      <formula2>0</formula2>
    </dataValidation>
  </dataValidations>
  <pageMargins left="0.7" right="0.7" top="0.75" bottom="0.75" header="0.3" footer="0.3"/>
  <pageSetup paperSize="9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L34"/>
  <sheetViews>
    <sheetView workbookViewId="0">
      <selection activeCell="A6" sqref="A6"/>
    </sheetView>
  </sheetViews>
  <sheetFormatPr baseColWidth="10" defaultColWidth="11.44140625" defaultRowHeight="13.2" x14ac:dyDescent="0.25"/>
  <cols>
    <col min="1" max="1" width="14" style="7" bestFit="1" customWidth="1"/>
    <col min="2" max="2" width="11.44140625" style="96"/>
    <col min="3" max="3" width="11.44140625" style="183"/>
    <col min="4" max="4" width="12.33203125" style="14" bestFit="1" customWidth="1"/>
    <col min="5" max="5" width="6" style="146" bestFit="1" customWidth="1"/>
    <col min="6" max="6" width="9.44140625" style="43" customWidth="1"/>
    <col min="7" max="7" width="12.44140625" style="43" bestFit="1" customWidth="1"/>
    <col min="8" max="8" width="11.44140625" style="42"/>
    <col min="9" max="16384" width="11.44140625" style="43"/>
  </cols>
  <sheetData>
    <row r="1" spans="1:12" s="19" customFormat="1" x14ac:dyDescent="0.25">
      <c r="A1" s="82" t="s">
        <v>241</v>
      </c>
      <c r="B1" s="96"/>
      <c r="C1" s="109" t="s">
        <v>243</v>
      </c>
      <c r="D1" s="14"/>
      <c r="E1" s="109" t="s">
        <v>245</v>
      </c>
      <c r="G1" s="82" t="s">
        <v>45</v>
      </c>
      <c r="H1" s="142">
        <f>SUMIF($D$6:$D$24,10,$B$6:$B$24)</f>
        <v>0</v>
      </c>
      <c r="I1" s="82" t="s">
        <v>47</v>
      </c>
      <c r="J1" s="142">
        <f>SUMIF($D$6:$D$24,I1,$B$6:$B$24)</f>
        <v>1062.05</v>
      </c>
      <c r="K1" s="82" t="s">
        <v>49</v>
      </c>
      <c r="L1" s="142">
        <f>SUMIF($D$6:$D$24,K1,$B$6:$B$24)</f>
        <v>0</v>
      </c>
    </row>
    <row r="2" spans="1:12" s="19" customFormat="1" x14ac:dyDescent="0.25">
      <c r="A2" s="82" t="s">
        <v>242</v>
      </c>
      <c r="B2" s="96"/>
      <c r="C2" s="109" t="s">
        <v>244</v>
      </c>
      <c r="D2" s="14"/>
      <c r="E2" s="109" t="s">
        <v>246</v>
      </c>
      <c r="G2" s="82" t="s">
        <v>44</v>
      </c>
      <c r="H2" s="142">
        <f>SUMIF($D$6:$D$24,G2,$B$6:$B$24)</f>
        <v>871.21</v>
      </c>
      <c r="I2" s="82" t="s">
        <v>48</v>
      </c>
      <c r="J2" s="142">
        <f>SUMIF($D$6:$D$24,I2,$B$6:$B$24)</f>
        <v>2281.1299987792968</v>
      </c>
      <c r="K2" s="82" t="s">
        <v>50</v>
      </c>
      <c r="L2" s="142">
        <f>SUMIF($D$6:$D$24,K2,$B$6:$B$24)</f>
        <v>0</v>
      </c>
    </row>
    <row r="3" spans="1:12" s="80" customFormat="1" ht="13.8" thickBot="1" x14ac:dyDescent="0.3">
      <c r="A3" s="78"/>
      <c r="B3" s="97"/>
      <c r="C3" s="185"/>
      <c r="D3" s="79"/>
      <c r="E3" s="145"/>
      <c r="H3" s="81"/>
    </row>
    <row r="4" spans="1:12" s="51" customFormat="1" ht="13.8" thickBot="1" x14ac:dyDescent="0.3">
      <c r="A4" s="220" t="s">
        <v>26</v>
      </c>
      <c r="B4" s="220"/>
      <c r="C4" s="220"/>
      <c r="D4" s="50">
        <f>DSUM(A5:C94,B5,H4:J5)</f>
        <v>5714.3899987792965</v>
      </c>
      <c r="E4" s="146"/>
      <c r="I4" s="52" t="s">
        <v>4</v>
      </c>
      <c r="J4" s="53" t="s">
        <v>7</v>
      </c>
      <c r="K4" s="54" t="s">
        <v>9</v>
      </c>
      <c r="L4" s="150">
        <v>19</v>
      </c>
    </row>
    <row r="5" spans="1:12" s="19" customFormat="1" ht="13.8" thickBot="1" x14ac:dyDescent="0.3">
      <c r="A5" s="22" t="s">
        <v>4</v>
      </c>
      <c r="B5" s="98" t="s">
        <v>7</v>
      </c>
      <c r="C5" s="153" t="s">
        <v>9</v>
      </c>
      <c r="D5" s="27" t="s">
        <v>43</v>
      </c>
      <c r="E5" s="147" t="s">
        <v>221</v>
      </c>
      <c r="H5" s="55"/>
      <c r="I5" s="40"/>
      <c r="J5" s="56"/>
      <c r="K5" s="51"/>
    </row>
    <row r="6" spans="1:12" s="19" customFormat="1" x14ac:dyDescent="0.25">
      <c r="A6" s="139" t="s">
        <v>14</v>
      </c>
      <c r="B6" s="143">
        <v>96.8</v>
      </c>
      <c r="C6" s="159" t="s">
        <v>320</v>
      </c>
      <c r="D6" s="120" t="s">
        <v>48</v>
      </c>
      <c r="E6" s="133">
        <v>19</v>
      </c>
      <c r="H6" s="55"/>
      <c r="I6" s="40"/>
      <c r="J6" s="56"/>
      <c r="K6" s="51"/>
    </row>
    <row r="7" spans="1:12" s="19" customFormat="1" x14ac:dyDescent="0.25">
      <c r="A7" s="139" t="s">
        <v>16</v>
      </c>
      <c r="B7" s="143">
        <v>275.25</v>
      </c>
      <c r="C7" s="159" t="s">
        <v>320</v>
      </c>
      <c r="D7" s="120" t="s">
        <v>48</v>
      </c>
      <c r="E7" s="133">
        <v>18</v>
      </c>
      <c r="H7" s="55"/>
      <c r="I7" s="40"/>
      <c r="J7" s="56"/>
      <c r="K7" s="51"/>
    </row>
    <row r="8" spans="1:12" s="19" customFormat="1" x14ac:dyDescent="0.25">
      <c r="A8" s="139" t="s">
        <v>12</v>
      </c>
      <c r="B8" s="143">
        <v>500</v>
      </c>
      <c r="C8" s="159" t="s">
        <v>316</v>
      </c>
      <c r="D8" s="120" t="s">
        <v>48</v>
      </c>
      <c r="E8" s="133">
        <v>17</v>
      </c>
      <c r="H8" s="55"/>
      <c r="I8" s="40"/>
      <c r="J8" s="56"/>
      <c r="K8" s="51"/>
    </row>
    <row r="9" spans="1:12" s="19" customFormat="1" x14ac:dyDescent="0.25">
      <c r="A9" s="139" t="s">
        <v>307</v>
      </c>
      <c r="B9" s="143">
        <v>10</v>
      </c>
      <c r="C9" s="159">
        <v>43760</v>
      </c>
      <c r="D9" s="120" t="s">
        <v>48</v>
      </c>
      <c r="E9" s="133">
        <v>16</v>
      </c>
      <c r="H9" s="55"/>
      <c r="I9" s="40"/>
      <c r="J9" s="56"/>
      <c r="K9" s="51"/>
    </row>
    <row r="10" spans="1:12" s="19" customFormat="1" x14ac:dyDescent="0.25">
      <c r="A10" s="33" t="s">
        <v>27</v>
      </c>
      <c r="B10" s="95">
        <v>475.02999877929688</v>
      </c>
      <c r="C10" s="160" t="s">
        <v>252</v>
      </c>
      <c r="D10" s="23" t="s">
        <v>48</v>
      </c>
      <c r="E10" s="148">
        <v>15</v>
      </c>
      <c r="H10" s="55"/>
      <c r="I10" s="40"/>
      <c r="J10" s="56"/>
      <c r="K10" s="51"/>
    </row>
    <row r="11" spans="1:12" s="19" customFormat="1" x14ac:dyDescent="0.25">
      <c r="A11" s="33" t="s">
        <v>10</v>
      </c>
      <c r="B11" s="95">
        <v>17.8</v>
      </c>
      <c r="C11" s="160" t="s">
        <v>223</v>
      </c>
      <c r="D11" s="23" t="s">
        <v>48</v>
      </c>
      <c r="E11" s="148">
        <v>14</v>
      </c>
      <c r="H11" s="55"/>
      <c r="I11" s="40"/>
      <c r="J11" s="56"/>
      <c r="K11" s="51"/>
    </row>
    <row r="12" spans="1:12" s="19" customFormat="1" x14ac:dyDescent="0.25">
      <c r="A12" s="33" t="s">
        <v>12</v>
      </c>
      <c r="B12" s="95">
        <v>500</v>
      </c>
      <c r="C12" s="160" t="s">
        <v>223</v>
      </c>
      <c r="D12" s="23" t="s">
        <v>48</v>
      </c>
      <c r="E12" s="148">
        <v>13</v>
      </c>
      <c r="H12" s="55"/>
      <c r="I12" s="40"/>
      <c r="J12" s="56"/>
      <c r="K12" s="51"/>
    </row>
    <row r="13" spans="1:12" s="19" customFormat="1" x14ac:dyDescent="0.25">
      <c r="A13" s="33" t="s">
        <v>14</v>
      </c>
      <c r="B13" s="95">
        <v>121</v>
      </c>
      <c r="C13" s="160" t="s">
        <v>223</v>
      </c>
      <c r="D13" s="23" t="s">
        <v>48</v>
      </c>
      <c r="E13" s="148">
        <v>12</v>
      </c>
      <c r="H13" s="55"/>
      <c r="I13" s="40"/>
      <c r="J13" s="56"/>
      <c r="K13" s="51"/>
    </row>
    <row r="14" spans="1:12" s="19" customFormat="1" x14ac:dyDescent="0.25">
      <c r="A14" s="33" t="s">
        <v>16</v>
      </c>
      <c r="B14" s="95">
        <v>275.25</v>
      </c>
      <c r="C14" s="160" t="s">
        <v>222</v>
      </c>
      <c r="D14" s="23" t="s">
        <v>48</v>
      </c>
      <c r="E14" s="148">
        <v>11</v>
      </c>
      <c r="H14" s="55"/>
      <c r="I14" s="40"/>
      <c r="J14" s="56"/>
      <c r="K14" s="51"/>
    </row>
    <row r="15" spans="1:12" s="19" customFormat="1" x14ac:dyDescent="0.25">
      <c r="A15" s="7" t="s">
        <v>307</v>
      </c>
      <c r="B15" s="95">
        <v>10</v>
      </c>
      <c r="C15" s="160">
        <v>43728</v>
      </c>
      <c r="D15" s="23" t="s">
        <v>48</v>
      </c>
      <c r="E15" s="148">
        <v>10</v>
      </c>
      <c r="H15" s="55"/>
      <c r="I15" s="40"/>
      <c r="J15" s="56"/>
      <c r="K15" s="51"/>
    </row>
    <row r="16" spans="1:12" s="19" customFormat="1" x14ac:dyDescent="0.25">
      <c r="A16" s="7" t="s">
        <v>10</v>
      </c>
      <c r="B16" s="96">
        <v>29.22</v>
      </c>
      <c r="C16" s="155" t="s">
        <v>84</v>
      </c>
      <c r="D16" s="14" t="s">
        <v>47</v>
      </c>
      <c r="E16" s="146">
        <v>9</v>
      </c>
      <c r="H16" s="55"/>
      <c r="I16" s="8"/>
      <c r="J16" s="57"/>
    </row>
    <row r="17" spans="1:10" s="19" customFormat="1" x14ac:dyDescent="0.25">
      <c r="A17" s="7" t="s">
        <v>27</v>
      </c>
      <c r="B17" s="96">
        <v>411.83</v>
      </c>
      <c r="C17" s="155" t="s">
        <v>75</v>
      </c>
      <c r="D17" s="14" t="s">
        <v>47</v>
      </c>
      <c r="E17" s="146">
        <v>8</v>
      </c>
      <c r="H17" s="55"/>
      <c r="I17" s="8"/>
      <c r="J17" s="57"/>
    </row>
    <row r="18" spans="1:10" s="19" customFormat="1" x14ac:dyDescent="0.25">
      <c r="A18" s="7" t="s">
        <v>12</v>
      </c>
      <c r="B18" s="96">
        <v>500</v>
      </c>
      <c r="C18" s="155" t="s">
        <v>72</v>
      </c>
      <c r="D18" s="14" t="s">
        <v>47</v>
      </c>
      <c r="E18" s="146">
        <v>7</v>
      </c>
      <c r="H18" s="55"/>
      <c r="I18" s="8"/>
      <c r="J18" s="57"/>
    </row>
    <row r="19" spans="1:10" s="19" customFormat="1" x14ac:dyDescent="0.25">
      <c r="A19" s="7" t="s">
        <v>14</v>
      </c>
      <c r="B19" s="96">
        <v>121</v>
      </c>
      <c r="C19" s="155" t="s">
        <v>63</v>
      </c>
      <c r="D19" s="14" t="s">
        <v>47</v>
      </c>
      <c r="E19" s="146">
        <v>6</v>
      </c>
      <c r="H19" s="55"/>
      <c r="I19" s="8"/>
      <c r="J19" s="57"/>
    </row>
    <row r="20" spans="1:10" s="19" customFormat="1" x14ac:dyDescent="0.25">
      <c r="A20" s="7" t="s">
        <v>16</v>
      </c>
      <c r="B20" s="96">
        <v>210</v>
      </c>
      <c r="C20" s="155" t="s">
        <v>52</v>
      </c>
      <c r="D20" s="14" t="s">
        <v>44</v>
      </c>
      <c r="E20" s="146">
        <v>5</v>
      </c>
      <c r="H20" s="55"/>
      <c r="I20" s="8"/>
      <c r="J20" s="57"/>
    </row>
    <row r="21" spans="1:10" s="19" customFormat="1" x14ac:dyDescent="0.25">
      <c r="A21" s="7" t="s">
        <v>27</v>
      </c>
      <c r="B21" s="96">
        <v>151.21</v>
      </c>
      <c r="C21" s="155" t="s">
        <v>36</v>
      </c>
      <c r="D21" s="14" t="s">
        <v>44</v>
      </c>
      <c r="E21" s="146">
        <v>4</v>
      </c>
      <c r="H21" s="55"/>
      <c r="I21" s="8"/>
      <c r="J21" s="57"/>
    </row>
    <row r="22" spans="1:10" s="19" customFormat="1" x14ac:dyDescent="0.25">
      <c r="A22" s="7" t="s">
        <v>12</v>
      </c>
      <c r="B22" s="96">
        <v>500</v>
      </c>
      <c r="C22" s="155" t="s">
        <v>28</v>
      </c>
      <c r="D22" s="58" t="s">
        <v>44</v>
      </c>
      <c r="E22" s="149">
        <v>3</v>
      </c>
      <c r="H22" s="55"/>
      <c r="I22" s="8"/>
      <c r="J22" s="57"/>
    </row>
    <row r="23" spans="1:10" s="19" customFormat="1" x14ac:dyDescent="0.25">
      <c r="A23" s="7" t="s">
        <v>307</v>
      </c>
      <c r="B23" s="96">
        <v>10</v>
      </c>
      <c r="C23" s="155" t="s">
        <v>28</v>
      </c>
      <c r="D23" s="14" t="s">
        <v>44</v>
      </c>
      <c r="E23" s="146">
        <v>2</v>
      </c>
      <c r="I23" s="8"/>
      <c r="J23" s="57"/>
    </row>
    <row r="24" spans="1:10" s="19" customFormat="1" x14ac:dyDescent="0.25">
      <c r="A24" s="59" t="s">
        <v>12</v>
      </c>
      <c r="B24" s="99">
        <v>1500</v>
      </c>
      <c r="C24" s="158">
        <v>43668</v>
      </c>
      <c r="D24" s="14" t="s">
        <v>45</v>
      </c>
      <c r="E24" s="146">
        <v>1</v>
      </c>
      <c r="I24" s="8"/>
      <c r="J24" s="57"/>
    </row>
    <row r="25" spans="1:10" s="19" customFormat="1" x14ac:dyDescent="0.25">
      <c r="A25" s="7"/>
      <c r="B25" s="96"/>
      <c r="C25" s="183"/>
      <c r="D25" s="14"/>
      <c r="E25" s="146"/>
      <c r="I25" s="8"/>
      <c r="J25" s="57"/>
    </row>
    <row r="26" spans="1:10" s="19" customFormat="1" x14ac:dyDescent="0.25">
      <c r="A26" s="7"/>
      <c r="B26" s="96"/>
      <c r="C26" s="183"/>
      <c r="D26" s="14"/>
      <c r="E26" s="146"/>
      <c r="I26" s="8"/>
      <c r="J26" s="57"/>
    </row>
    <row r="27" spans="1:10" s="19" customFormat="1" x14ac:dyDescent="0.25">
      <c r="A27" s="7"/>
      <c r="B27" s="96"/>
      <c r="C27" s="183"/>
      <c r="D27" s="14"/>
      <c r="E27" s="146"/>
      <c r="I27" s="8"/>
      <c r="J27" s="57"/>
    </row>
    <row r="28" spans="1:10" s="19" customFormat="1" x14ac:dyDescent="0.25">
      <c r="A28" s="7"/>
      <c r="B28" s="96"/>
      <c r="C28" s="183"/>
      <c r="D28" s="14"/>
      <c r="E28" s="146"/>
      <c r="F28" s="51"/>
      <c r="I28" s="8"/>
      <c r="J28" s="57"/>
    </row>
    <row r="29" spans="1:10" s="19" customFormat="1" x14ac:dyDescent="0.25">
      <c r="A29" s="7"/>
      <c r="B29" s="96"/>
      <c r="C29" s="183"/>
      <c r="D29" s="14"/>
      <c r="E29" s="146"/>
      <c r="G29" s="43"/>
      <c r="H29" s="42"/>
      <c r="I29" s="8"/>
      <c r="J29" s="57"/>
    </row>
    <row r="34" spans="2:2" x14ac:dyDescent="0.25">
      <c r="B34" s="100"/>
    </row>
  </sheetData>
  <mergeCells count="1">
    <mergeCell ref="A4:C4"/>
  </mergeCells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L100"/>
  <sheetViews>
    <sheetView showRowColHeaders="0" workbookViewId="0">
      <selection activeCell="A6" sqref="A6"/>
    </sheetView>
  </sheetViews>
  <sheetFormatPr baseColWidth="10" defaultColWidth="11.44140625" defaultRowHeight="13.2" x14ac:dyDescent="0.25"/>
  <cols>
    <col min="1" max="1" width="16.6640625" style="65" bestFit="1" customWidth="1"/>
    <col min="2" max="2" width="11.44140625" style="101"/>
    <col min="3" max="3" width="10.109375" style="156" bestFit="1" customWidth="1"/>
    <col min="4" max="4" width="11.44140625" style="14"/>
    <col min="5" max="5" width="5.6640625" style="146" customWidth="1"/>
    <col min="6" max="6" width="11.44140625" style="43"/>
    <col min="7" max="7" width="12.44140625" style="56" bestFit="1" customWidth="1"/>
    <col min="8" max="8" width="8.6640625" style="39" bestFit="1" customWidth="1"/>
    <col min="9" max="9" width="11.44140625" style="43"/>
    <col min="10" max="10" width="8.6640625" style="43" bestFit="1" customWidth="1"/>
    <col min="11" max="11" width="11.88671875" style="43" bestFit="1" customWidth="1"/>
    <col min="12" max="12" width="10.109375" style="43" customWidth="1"/>
    <col min="13" max="16384" width="11.44140625" style="43"/>
  </cols>
  <sheetData>
    <row r="1" spans="1:12" x14ac:dyDescent="0.25">
      <c r="A1" s="35" t="s">
        <v>241</v>
      </c>
      <c r="C1" s="113" t="s">
        <v>243</v>
      </c>
      <c r="D1" s="90"/>
      <c r="E1" s="151" t="s">
        <v>245</v>
      </c>
      <c r="G1" s="91" t="s">
        <v>45</v>
      </c>
      <c r="H1" s="66">
        <f>SUMIF($D$5:$D$100,G1,$B$5:$B$100)</f>
        <v>2700.23</v>
      </c>
      <c r="I1" s="91" t="s">
        <v>47</v>
      </c>
      <c r="J1" s="66">
        <f>SUMIF($D$5:$D$100,I1,$B$5:$B$100)</f>
        <v>1419.2500000000002</v>
      </c>
      <c r="K1" s="91" t="s">
        <v>49</v>
      </c>
      <c r="L1" s="66">
        <f>SUMIF($D$5:$D$100,K1,$B$5:$B$100)</f>
        <v>176.05</v>
      </c>
    </row>
    <row r="2" spans="1:12" x14ac:dyDescent="0.25">
      <c r="A2" s="35" t="s">
        <v>242</v>
      </c>
      <c r="C2" s="113" t="s">
        <v>244</v>
      </c>
      <c r="D2" s="90"/>
      <c r="E2" s="151" t="s">
        <v>246</v>
      </c>
      <c r="G2" s="91" t="s">
        <v>44</v>
      </c>
      <c r="H2" s="66">
        <f>SUMIF($D$5:$D$100,G2,$B$5:$B$100)</f>
        <v>3902.6000000000004</v>
      </c>
      <c r="I2" s="91" t="s">
        <v>48</v>
      </c>
      <c r="J2" s="66">
        <f>SUMIF($D$5:$D$100,I2,$B$5:$B$100)</f>
        <v>1021.0799989032746</v>
      </c>
      <c r="K2" s="91" t="s">
        <v>50</v>
      </c>
      <c r="L2" s="66">
        <f>SUMIF($D$5:$D$100,K2,$B$5:$B$100)</f>
        <v>0</v>
      </c>
    </row>
    <row r="3" spans="1:12" s="80" customFormat="1" ht="13.8" thickBot="1" x14ac:dyDescent="0.3">
      <c r="A3" s="87"/>
      <c r="B3" s="102"/>
      <c r="C3" s="152"/>
      <c r="D3" s="79"/>
      <c r="E3" s="145"/>
      <c r="G3" s="88"/>
      <c r="H3" s="89"/>
    </row>
    <row r="4" spans="1:12" ht="13.8" thickBot="1" x14ac:dyDescent="0.3">
      <c r="A4" s="220" t="s">
        <v>6</v>
      </c>
      <c r="B4" s="220"/>
      <c r="C4" s="220"/>
      <c r="D4" s="60">
        <f>DSUM(A5:C140,B5,I4:K5)</f>
        <v>9219.209998903274</v>
      </c>
      <c r="E4" s="150"/>
      <c r="I4" s="61" t="s">
        <v>6</v>
      </c>
      <c r="J4" s="62" t="s">
        <v>5</v>
      </c>
      <c r="K4" s="54" t="s">
        <v>9</v>
      </c>
      <c r="L4" s="51">
        <v>95</v>
      </c>
    </row>
    <row r="5" spans="1:12" s="19" customFormat="1" ht="13.8" thickBot="1" x14ac:dyDescent="0.3">
      <c r="A5" s="22" t="s">
        <v>6</v>
      </c>
      <c r="B5" s="103" t="s">
        <v>5</v>
      </c>
      <c r="C5" s="153" t="s">
        <v>9</v>
      </c>
      <c r="D5" s="27" t="s">
        <v>43</v>
      </c>
      <c r="E5" s="147" t="s">
        <v>221</v>
      </c>
      <c r="G5" s="56"/>
      <c r="H5" s="39"/>
    </row>
    <row r="6" spans="1:12" s="19" customFormat="1" x14ac:dyDescent="0.25">
      <c r="A6" s="12" t="s">
        <v>15</v>
      </c>
      <c r="B6" s="104">
        <v>176.05</v>
      </c>
      <c r="C6" s="154" t="s">
        <v>332</v>
      </c>
      <c r="D6" s="120" t="s">
        <v>49</v>
      </c>
      <c r="E6" s="133">
        <v>95</v>
      </c>
      <c r="G6" s="56"/>
      <c r="H6" s="39"/>
    </row>
    <row r="7" spans="1:12" s="19" customFormat="1" x14ac:dyDescent="0.25">
      <c r="A7" s="12" t="s">
        <v>20</v>
      </c>
      <c r="B7" s="104">
        <v>3.6</v>
      </c>
      <c r="C7" s="154" t="s">
        <v>320</v>
      </c>
      <c r="D7" s="120" t="s">
        <v>48</v>
      </c>
      <c r="E7" s="133">
        <v>94</v>
      </c>
      <c r="G7" s="56"/>
      <c r="H7" s="39"/>
    </row>
    <row r="8" spans="1:12" s="19" customFormat="1" x14ac:dyDescent="0.25">
      <c r="A8" s="12" t="s">
        <v>15</v>
      </c>
      <c r="B8" s="104">
        <v>60.49</v>
      </c>
      <c r="C8" s="154" t="s">
        <v>320</v>
      </c>
      <c r="D8" s="120" t="s">
        <v>48</v>
      </c>
      <c r="E8" s="133">
        <v>93</v>
      </c>
      <c r="G8" s="56"/>
      <c r="H8" s="39"/>
    </row>
    <row r="9" spans="1:12" s="19" customFormat="1" x14ac:dyDescent="0.25">
      <c r="A9" s="12" t="s">
        <v>53</v>
      </c>
      <c r="B9" s="104">
        <v>340.14</v>
      </c>
      <c r="C9" s="154" t="s">
        <v>317</v>
      </c>
      <c r="D9" s="120" t="s">
        <v>48</v>
      </c>
      <c r="E9" s="133">
        <v>92</v>
      </c>
      <c r="G9" s="56"/>
      <c r="H9" s="39"/>
    </row>
    <row r="10" spans="1:12" s="19" customFormat="1" x14ac:dyDescent="0.25">
      <c r="A10" s="12" t="s">
        <v>19</v>
      </c>
      <c r="B10" s="104">
        <v>16.2</v>
      </c>
      <c r="C10" s="154" t="s">
        <v>317</v>
      </c>
      <c r="D10" s="120" t="s">
        <v>48</v>
      </c>
      <c r="E10" s="133">
        <v>91</v>
      </c>
      <c r="G10" s="56"/>
      <c r="H10" s="39"/>
    </row>
    <row r="11" spans="1:12" s="19" customFormat="1" x14ac:dyDescent="0.25">
      <c r="A11" s="12" t="s">
        <v>81</v>
      </c>
      <c r="B11" s="104">
        <v>8.36</v>
      </c>
      <c r="C11" s="154" t="s">
        <v>316</v>
      </c>
      <c r="D11" s="120" t="s">
        <v>48</v>
      </c>
      <c r="E11" s="133">
        <v>90</v>
      </c>
      <c r="G11" s="56"/>
      <c r="H11" s="39"/>
    </row>
    <row r="12" spans="1:12" s="19" customFormat="1" x14ac:dyDescent="0.25">
      <c r="A12" s="12" t="s">
        <v>20</v>
      </c>
      <c r="B12" s="104">
        <v>4.37</v>
      </c>
      <c r="C12" s="154" t="s">
        <v>314</v>
      </c>
      <c r="D12" s="120" t="s">
        <v>48</v>
      </c>
      <c r="E12" s="133">
        <v>89</v>
      </c>
      <c r="G12" s="56"/>
      <c r="H12" s="39"/>
    </row>
    <row r="13" spans="1:12" s="19" customFormat="1" x14ac:dyDescent="0.25">
      <c r="A13" s="12" t="s">
        <v>20</v>
      </c>
      <c r="B13" s="104">
        <v>7.7</v>
      </c>
      <c r="C13" s="154" t="s">
        <v>309</v>
      </c>
      <c r="D13" s="120" t="s">
        <v>48</v>
      </c>
      <c r="E13" s="133">
        <v>88</v>
      </c>
      <c r="G13" s="56"/>
      <c r="H13" s="39"/>
    </row>
    <row r="14" spans="1:12" s="19" customFormat="1" x14ac:dyDescent="0.25">
      <c r="A14" s="12" t="s">
        <v>19</v>
      </c>
      <c r="B14" s="104">
        <v>5.0999999999999996</v>
      </c>
      <c r="C14" s="154" t="s">
        <v>309</v>
      </c>
      <c r="D14" s="120" t="s">
        <v>48</v>
      </c>
      <c r="E14" s="133">
        <v>87</v>
      </c>
      <c r="G14" s="56"/>
      <c r="H14" s="39"/>
    </row>
    <row r="15" spans="1:12" s="19" customFormat="1" x14ac:dyDescent="0.25">
      <c r="A15" s="12" t="s">
        <v>81</v>
      </c>
      <c r="B15" s="104">
        <v>3.91</v>
      </c>
      <c r="C15" s="154" t="s">
        <v>309</v>
      </c>
      <c r="D15" s="120" t="s">
        <v>48</v>
      </c>
      <c r="E15" s="133">
        <v>86</v>
      </c>
      <c r="G15" s="56"/>
      <c r="H15" s="39"/>
    </row>
    <row r="16" spans="1:12" s="19" customFormat="1" x14ac:dyDescent="0.25">
      <c r="A16" s="12" t="s">
        <v>15</v>
      </c>
      <c r="B16" s="104">
        <v>124.97</v>
      </c>
      <c r="C16" s="154" t="s">
        <v>306</v>
      </c>
      <c r="D16" s="120" t="s">
        <v>48</v>
      </c>
      <c r="E16" s="133">
        <v>85</v>
      </c>
      <c r="G16" s="56"/>
      <c r="H16" s="39"/>
    </row>
    <row r="17" spans="1:8" s="19" customFormat="1" x14ac:dyDescent="0.25">
      <c r="A17" s="12" t="s">
        <v>38</v>
      </c>
      <c r="B17" s="104">
        <v>103.09</v>
      </c>
      <c r="C17" s="154">
        <v>43760</v>
      </c>
      <c r="D17" s="120" t="s">
        <v>48</v>
      </c>
      <c r="E17" s="133">
        <v>84</v>
      </c>
      <c r="G17" s="56"/>
      <c r="H17" s="39"/>
    </row>
    <row r="18" spans="1:8" s="19" customFormat="1" x14ac:dyDescent="0.25">
      <c r="A18" s="12" t="s">
        <v>15</v>
      </c>
      <c r="B18" s="104">
        <v>54.840000152587891</v>
      </c>
      <c r="C18" s="154" t="s">
        <v>290</v>
      </c>
      <c r="D18" s="120" t="s">
        <v>48</v>
      </c>
      <c r="E18" s="133">
        <v>83</v>
      </c>
      <c r="G18" s="56"/>
      <c r="H18" s="39"/>
    </row>
    <row r="19" spans="1:8" s="19" customFormat="1" x14ac:dyDescent="0.25">
      <c r="A19" s="12" t="s">
        <v>81</v>
      </c>
      <c r="B19" s="104">
        <v>2.9000000953674316</v>
      </c>
      <c r="C19" s="154" t="s">
        <v>265</v>
      </c>
      <c r="D19" s="120" t="s">
        <v>48</v>
      </c>
      <c r="E19" s="133">
        <v>82</v>
      </c>
      <c r="G19" s="56"/>
      <c r="H19" s="39"/>
    </row>
    <row r="20" spans="1:8" s="19" customFormat="1" x14ac:dyDescent="0.25">
      <c r="A20" s="12" t="s">
        <v>20</v>
      </c>
      <c r="B20" s="104">
        <v>2.2200000286102295</v>
      </c>
      <c r="C20" s="154" t="s">
        <v>265</v>
      </c>
      <c r="D20" s="120" t="s">
        <v>48</v>
      </c>
      <c r="E20" s="133">
        <v>81</v>
      </c>
      <c r="G20" s="56"/>
      <c r="H20" s="39"/>
    </row>
    <row r="21" spans="1:8" s="19" customFormat="1" x14ac:dyDescent="0.25">
      <c r="A21" s="12" t="s">
        <v>20</v>
      </c>
      <c r="B21" s="104">
        <v>4.6599998474121094</v>
      </c>
      <c r="C21" s="154" t="s">
        <v>255</v>
      </c>
      <c r="D21" s="23" t="s">
        <v>48</v>
      </c>
      <c r="E21" s="148">
        <v>80</v>
      </c>
      <c r="G21" s="56"/>
      <c r="H21" s="39"/>
    </row>
    <row r="22" spans="1:8" s="19" customFormat="1" x14ac:dyDescent="0.25">
      <c r="A22" s="12" t="s">
        <v>15</v>
      </c>
      <c r="B22" s="104">
        <v>114.52999877929688</v>
      </c>
      <c r="C22" s="154" t="s">
        <v>255</v>
      </c>
      <c r="D22" s="23" t="s">
        <v>48</v>
      </c>
      <c r="E22" s="148">
        <v>79</v>
      </c>
      <c r="G22" s="56"/>
      <c r="H22" s="39"/>
    </row>
    <row r="23" spans="1:8" s="19" customFormat="1" x14ac:dyDescent="0.25">
      <c r="A23" s="12" t="s">
        <v>249</v>
      </c>
      <c r="B23" s="104">
        <v>18</v>
      </c>
      <c r="C23" s="154" t="s">
        <v>238</v>
      </c>
      <c r="D23" s="23" t="s">
        <v>48</v>
      </c>
      <c r="E23" s="148">
        <v>78</v>
      </c>
      <c r="G23" s="56"/>
      <c r="H23" s="39"/>
    </row>
    <row r="24" spans="1:8" s="19" customFormat="1" x14ac:dyDescent="0.25">
      <c r="A24" s="12" t="s">
        <v>20</v>
      </c>
      <c r="B24" s="104">
        <v>6.33</v>
      </c>
      <c r="C24" s="154" t="s">
        <v>238</v>
      </c>
      <c r="D24" s="23" t="s">
        <v>48</v>
      </c>
      <c r="E24" s="148">
        <v>77</v>
      </c>
      <c r="G24" s="56"/>
      <c r="H24" s="39"/>
    </row>
    <row r="25" spans="1:8" s="19" customFormat="1" x14ac:dyDescent="0.25">
      <c r="A25" s="12" t="s">
        <v>81</v>
      </c>
      <c r="B25" s="104">
        <v>8.43</v>
      </c>
      <c r="C25" s="154" t="s">
        <v>238</v>
      </c>
      <c r="D25" s="23" t="s">
        <v>48</v>
      </c>
      <c r="E25" s="148">
        <v>76</v>
      </c>
      <c r="G25" s="56"/>
      <c r="H25" s="39"/>
    </row>
    <row r="26" spans="1:8" s="19" customFormat="1" x14ac:dyDescent="0.25">
      <c r="A26" s="12" t="s">
        <v>20</v>
      </c>
      <c r="B26" s="104">
        <v>6.67</v>
      </c>
      <c r="C26" s="154" t="s">
        <v>235</v>
      </c>
      <c r="D26" s="23" t="s">
        <v>48</v>
      </c>
      <c r="E26" s="148">
        <v>75</v>
      </c>
      <c r="G26" s="56"/>
      <c r="H26" s="39"/>
    </row>
    <row r="27" spans="1:8" s="19" customFormat="1" x14ac:dyDescent="0.25">
      <c r="A27" s="12" t="s">
        <v>15</v>
      </c>
      <c r="B27" s="104">
        <v>75.75</v>
      </c>
      <c r="C27" s="154">
        <v>43742</v>
      </c>
      <c r="D27" s="23" t="s">
        <v>48</v>
      </c>
      <c r="E27" s="148">
        <v>74</v>
      </c>
      <c r="G27" s="56"/>
      <c r="H27" s="39"/>
    </row>
    <row r="28" spans="1:8" s="19" customFormat="1" x14ac:dyDescent="0.25">
      <c r="A28" s="12" t="s">
        <v>81</v>
      </c>
      <c r="B28" s="104">
        <v>8.82</v>
      </c>
      <c r="C28" s="154" t="s">
        <v>223</v>
      </c>
      <c r="D28" s="23" t="s">
        <v>48</v>
      </c>
      <c r="E28" s="148">
        <v>73</v>
      </c>
      <c r="G28" s="56"/>
      <c r="H28" s="39"/>
    </row>
    <row r="29" spans="1:8" s="19" customFormat="1" x14ac:dyDescent="0.25">
      <c r="A29" s="12" t="s">
        <v>19</v>
      </c>
      <c r="B29" s="104">
        <v>40</v>
      </c>
      <c r="C29" s="154" t="s">
        <v>223</v>
      </c>
      <c r="D29" s="23" t="s">
        <v>48</v>
      </c>
      <c r="E29" s="148">
        <v>72</v>
      </c>
      <c r="G29" s="56"/>
      <c r="H29" s="39"/>
    </row>
    <row r="30" spans="1:8" s="19" customFormat="1" x14ac:dyDescent="0.25">
      <c r="A30" s="12" t="s">
        <v>53</v>
      </c>
      <c r="B30" s="104">
        <v>340.9</v>
      </c>
      <c r="C30" s="154" t="s">
        <v>222</v>
      </c>
      <c r="D30" s="23" t="s">
        <v>47</v>
      </c>
      <c r="E30" s="148">
        <v>71</v>
      </c>
      <c r="G30" s="56"/>
      <c r="H30" s="39"/>
    </row>
    <row r="31" spans="1:8" s="19" customFormat="1" x14ac:dyDescent="0.25">
      <c r="A31" s="12" t="s">
        <v>81</v>
      </c>
      <c r="B31" s="104">
        <v>15.6</v>
      </c>
      <c r="C31" s="154" t="s">
        <v>210</v>
      </c>
      <c r="D31" s="23" t="s">
        <v>47</v>
      </c>
      <c r="E31" s="146">
        <v>70</v>
      </c>
      <c r="G31" s="56"/>
      <c r="H31" s="39"/>
    </row>
    <row r="32" spans="1:8" s="19" customFormat="1" x14ac:dyDescent="0.25">
      <c r="A32" s="12" t="s">
        <v>19</v>
      </c>
      <c r="B32" s="104">
        <v>3.92</v>
      </c>
      <c r="C32" s="154" t="s">
        <v>210</v>
      </c>
      <c r="D32" s="23" t="s">
        <v>47</v>
      </c>
      <c r="E32" s="146">
        <v>69</v>
      </c>
      <c r="G32" s="56"/>
      <c r="H32" s="39"/>
    </row>
    <row r="33" spans="1:8" s="19" customFormat="1" x14ac:dyDescent="0.25">
      <c r="A33" s="12" t="s">
        <v>15</v>
      </c>
      <c r="B33" s="104">
        <v>163.04</v>
      </c>
      <c r="C33" s="154" t="s">
        <v>210</v>
      </c>
      <c r="D33" s="23" t="s">
        <v>47</v>
      </c>
      <c r="E33" s="146">
        <v>68</v>
      </c>
      <c r="G33" s="56"/>
      <c r="H33" s="39"/>
    </row>
    <row r="34" spans="1:8" s="19" customFormat="1" x14ac:dyDescent="0.25">
      <c r="A34" s="12" t="s">
        <v>20</v>
      </c>
      <c r="B34" s="104">
        <v>4</v>
      </c>
      <c r="C34" s="154" t="s">
        <v>202</v>
      </c>
      <c r="D34" s="23" t="s">
        <v>47</v>
      </c>
      <c r="E34" s="146">
        <v>67</v>
      </c>
      <c r="G34" s="56"/>
      <c r="H34" s="39"/>
    </row>
    <row r="35" spans="1:8" s="19" customFormat="1" x14ac:dyDescent="0.25">
      <c r="A35" s="12" t="s">
        <v>81</v>
      </c>
      <c r="B35" s="104">
        <v>2.2000000000000002</v>
      </c>
      <c r="C35" s="154" t="s">
        <v>202</v>
      </c>
      <c r="D35" s="23" t="s">
        <v>47</v>
      </c>
      <c r="E35" s="146">
        <v>66</v>
      </c>
      <c r="G35" s="56"/>
      <c r="H35" s="39"/>
    </row>
    <row r="36" spans="1:8" s="19" customFormat="1" x14ac:dyDescent="0.25">
      <c r="A36" s="12" t="s">
        <v>81</v>
      </c>
      <c r="B36" s="104">
        <v>2.8</v>
      </c>
      <c r="C36" s="154" t="s">
        <v>200</v>
      </c>
      <c r="D36" s="23" t="s">
        <v>47</v>
      </c>
      <c r="E36" s="146">
        <v>65</v>
      </c>
      <c r="G36" s="56"/>
      <c r="H36" s="39"/>
    </row>
    <row r="37" spans="1:8" s="19" customFormat="1" x14ac:dyDescent="0.25">
      <c r="A37" s="12" t="s">
        <v>20</v>
      </c>
      <c r="B37" s="104">
        <v>3.14</v>
      </c>
      <c r="C37" s="154" t="s">
        <v>193</v>
      </c>
      <c r="D37" s="23" t="s">
        <v>47</v>
      </c>
      <c r="E37" s="146">
        <v>64</v>
      </c>
      <c r="G37" s="56"/>
      <c r="H37" s="39"/>
    </row>
    <row r="38" spans="1:8" s="19" customFormat="1" x14ac:dyDescent="0.25">
      <c r="A38" s="12" t="s">
        <v>20</v>
      </c>
      <c r="B38" s="104">
        <v>3.8</v>
      </c>
      <c r="C38" s="154" t="s">
        <v>193</v>
      </c>
      <c r="D38" s="23" t="s">
        <v>47</v>
      </c>
      <c r="E38" s="146">
        <v>63</v>
      </c>
      <c r="G38" s="56"/>
      <c r="H38" s="39"/>
    </row>
    <row r="39" spans="1:8" s="19" customFormat="1" x14ac:dyDescent="0.25">
      <c r="A39" s="12" t="s">
        <v>38</v>
      </c>
      <c r="B39" s="104">
        <v>149.08000000000001</v>
      </c>
      <c r="C39" s="154" t="s">
        <v>193</v>
      </c>
      <c r="D39" s="23" t="s">
        <v>47</v>
      </c>
      <c r="E39" s="146">
        <v>62</v>
      </c>
      <c r="G39" s="56"/>
      <c r="H39" s="39"/>
    </row>
    <row r="40" spans="1:8" s="19" customFormat="1" x14ac:dyDescent="0.25">
      <c r="A40" s="12" t="s">
        <v>20</v>
      </c>
      <c r="B40" s="104">
        <v>1.82</v>
      </c>
      <c r="C40" s="154" t="s">
        <v>192</v>
      </c>
      <c r="D40" s="23" t="s">
        <v>47</v>
      </c>
      <c r="E40" s="146">
        <v>61</v>
      </c>
      <c r="G40" s="56"/>
      <c r="H40" s="39"/>
    </row>
    <row r="41" spans="1:8" s="19" customFormat="1" x14ac:dyDescent="0.25">
      <c r="A41" s="12" t="s">
        <v>15</v>
      </c>
      <c r="B41" s="104">
        <v>101.02</v>
      </c>
      <c r="C41" s="154" t="s">
        <v>192</v>
      </c>
      <c r="D41" s="23" t="s">
        <v>47</v>
      </c>
      <c r="E41" s="146">
        <v>60</v>
      </c>
      <c r="G41" s="56"/>
      <c r="H41" s="39"/>
    </row>
    <row r="42" spans="1:8" s="19" customFormat="1" x14ac:dyDescent="0.25">
      <c r="A42" s="7" t="s">
        <v>20</v>
      </c>
      <c r="B42" s="104">
        <v>6</v>
      </c>
      <c r="C42" s="155" t="s">
        <v>101</v>
      </c>
      <c r="D42" s="14" t="s">
        <v>47</v>
      </c>
      <c r="E42" s="146">
        <v>59</v>
      </c>
      <c r="G42" s="56"/>
      <c r="H42" s="39"/>
    </row>
    <row r="43" spans="1:8" s="19" customFormat="1" x14ac:dyDescent="0.25">
      <c r="A43" s="7" t="s">
        <v>38</v>
      </c>
      <c r="B43" s="104">
        <v>33.32</v>
      </c>
      <c r="C43" s="155" t="s">
        <v>97</v>
      </c>
      <c r="D43" s="14" t="s">
        <v>47</v>
      </c>
      <c r="E43" s="146">
        <v>58</v>
      </c>
      <c r="G43" s="56"/>
      <c r="H43" s="39"/>
    </row>
    <row r="44" spans="1:8" s="19" customFormat="1" x14ac:dyDescent="0.25">
      <c r="A44" s="7" t="s">
        <v>53</v>
      </c>
      <c r="B44" s="104">
        <v>103.94</v>
      </c>
      <c r="C44" s="155" t="s">
        <v>95</v>
      </c>
      <c r="D44" s="14" t="s">
        <v>47</v>
      </c>
      <c r="E44" s="146">
        <v>57</v>
      </c>
      <c r="G44" s="56"/>
      <c r="H44" s="39"/>
    </row>
    <row r="45" spans="1:8" s="19" customFormat="1" x14ac:dyDescent="0.25">
      <c r="A45" s="7" t="s">
        <v>81</v>
      </c>
      <c r="B45" s="104">
        <v>3.44</v>
      </c>
      <c r="C45" s="155" t="s">
        <v>88</v>
      </c>
      <c r="D45" s="14" t="s">
        <v>47</v>
      </c>
      <c r="E45" s="146">
        <v>56</v>
      </c>
      <c r="G45" s="56"/>
      <c r="H45" s="39"/>
    </row>
    <row r="46" spans="1:8" s="19" customFormat="1" x14ac:dyDescent="0.25">
      <c r="A46" s="7" t="s">
        <v>15</v>
      </c>
      <c r="B46" s="104">
        <v>78.03</v>
      </c>
      <c r="C46" s="155" t="s">
        <v>88</v>
      </c>
      <c r="D46" s="14" t="s">
        <v>47</v>
      </c>
      <c r="E46" s="146">
        <v>55</v>
      </c>
      <c r="G46" s="56"/>
      <c r="H46" s="39"/>
    </row>
    <row r="47" spans="1:8" s="19" customFormat="1" x14ac:dyDescent="0.25">
      <c r="A47" s="7" t="s">
        <v>15</v>
      </c>
      <c r="B47" s="104">
        <v>32.25</v>
      </c>
      <c r="C47" s="155" t="s">
        <v>84</v>
      </c>
      <c r="D47" s="14" t="s">
        <v>47</v>
      </c>
      <c r="E47" s="146">
        <v>54</v>
      </c>
      <c r="G47" s="56"/>
      <c r="H47" s="39"/>
    </row>
    <row r="48" spans="1:8" s="19" customFormat="1" x14ac:dyDescent="0.25">
      <c r="A48" s="7" t="s">
        <v>15</v>
      </c>
      <c r="B48" s="104">
        <v>144.18</v>
      </c>
      <c r="C48" s="155" t="s">
        <v>80</v>
      </c>
      <c r="D48" s="14" t="s">
        <v>47</v>
      </c>
      <c r="E48" s="146">
        <v>53</v>
      </c>
      <c r="G48" s="56"/>
      <c r="H48" s="39"/>
    </row>
    <row r="49" spans="1:8" s="19" customFormat="1" x14ac:dyDescent="0.25">
      <c r="A49" s="7" t="s">
        <v>81</v>
      </c>
      <c r="B49" s="104">
        <v>4.7300000000000004</v>
      </c>
      <c r="C49" s="155" t="s">
        <v>80</v>
      </c>
      <c r="D49" s="14" t="s">
        <v>47</v>
      </c>
      <c r="E49" s="146">
        <v>52</v>
      </c>
      <c r="G49" s="56"/>
      <c r="H49" s="39"/>
    </row>
    <row r="50" spans="1:8" s="19" customFormat="1" x14ac:dyDescent="0.25">
      <c r="A50" s="7" t="s">
        <v>20</v>
      </c>
      <c r="B50" s="104">
        <v>2.95</v>
      </c>
      <c r="C50" s="155" t="s">
        <v>80</v>
      </c>
      <c r="D50" s="14" t="s">
        <v>47</v>
      </c>
      <c r="E50" s="146">
        <v>51</v>
      </c>
      <c r="G50" s="56"/>
      <c r="H50" s="39"/>
    </row>
    <row r="51" spans="1:8" s="19" customFormat="1" x14ac:dyDescent="0.25">
      <c r="A51" s="7" t="s">
        <v>38</v>
      </c>
      <c r="B51" s="104">
        <v>103.09</v>
      </c>
      <c r="C51" s="155" t="s">
        <v>63</v>
      </c>
      <c r="D51" s="14" t="s">
        <v>47</v>
      </c>
      <c r="E51" s="146">
        <v>50</v>
      </c>
      <c r="G51" s="56"/>
      <c r="H51" s="39"/>
    </row>
    <row r="52" spans="1:8" s="19" customFormat="1" x14ac:dyDescent="0.25">
      <c r="A52" s="7" t="s">
        <v>55</v>
      </c>
      <c r="B52" s="104">
        <v>116</v>
      </c>
      <c r="C52" s="155" t="s">
        <v>63</v>
      </c>
      <c r="D52" s="14" t="s">
        <v>47</v>
      </c>
      <c r="E52" s="146">
        <v>49</v>
      </c>
      <c r="G52" s="56"/>
      <c r="H52" s="39"/>
    </row>
    <row r="53" spans="1:8" s="19" customFormat="1" x14ac:dyDescent="0.25">
      <c r="A53" s="7" t="s">
        <v>11</v>
      </c>
      <c r="B53" s="104">
        <v>6.05</v>
      </c>
      <c r="C53" s="155" t="s">
        <v>54</v>
      </c>
      <c r="D53" s="14" t="s">
        <v>44</v>
      </c>
      <c r="E53" s="146">
        <v>48</v>
      </c>
      <c r="G53" s="56"/>
      <c r="H53" s="39"/>
    </row>
    <row r="54" spans="1:8" s="19" customFormat="1" x14ac:dyDescent="0.25">
      <c r="A54" s="7" t="s">
        <v>21</v>
      </c>
      <c r="B54" s="104">
        <v>19</v>
      </c>
      <c r="C54" s="155" t="s">
        <v>54</v>
      </c>
      <c r="D54" s="14" t="s">
        <v>44</v>
      </c>
      <c r="E54" s="146">
        <v>47</v>
      </c>
      <c r="G54" s="56"/>
      <c r="H54" s="39"/>
    </row>
    <row r="55" spans="1:8" s="19" customFormat="1" x14ac:dyDescent="0.25">
      <c r="A55" s="7" t="s">
        <v>15</v>
      </c>
      <c r="B55" s="104">
        <v>21.25</v>
      </c>
      <c r="C55" s="155" t="s">
        <v>54</v>
      </c>
      <c r="D55" s="14" t="s">
        <v>44</v>
      </c>
      <c r="E55" s="146">
        <v>46</v>
      </c>
      <c r="G55" s="56"/>
      <c r="H55" s="39"/>
    </row>
    <row r="56" spans="1:8" s="19" customFormat="1" x14ac:dyDescent="0.25">
      <c r="A56" s="7" t="s">
        <v>55</v>
      </c>
      <c r="B56" s="104">
        <v>44.84</v>
      </c>
      <c r="C56" s="155" t="s">
        <v>54</v>
      </c>
      <c r="D56" s="14" t="s">
        <v>44</v>
      </c>
      <c r="E56" s="146">
        <v>45</v>
      </c>
      <c r="G56" s="56"/>
      <c r="H56" s="39"/>
    </row>
    <row r="57" spans="1:8" s="19" customFormat="1" x14ac:dyDescent="0.25">
      <c r="A57" s="7" t="s">
        <v>53</v>
      </c>
      <c r="B57" s="104">
        <v>308.14</v>
      </c>
      <c r="C57" s="155" t="s">
        <v>52</v>
      </c>
      <c r="D57" s="14" t="s">
        <v>44</v>
      </c>
      <c r="E57" s="146">
        <v>44</v>
      </c>
      <c r="G57" s="56"/>
      <c r="H57" s="39"/>
    </row>
    <row r="58" spans="1:8" s="19" customFormat="1" x14ac:dyDescent="0.25">
      <c r="A58" s="7" t="s">
        <v>19</v>
      </c>
      <c r="B58" s="104">
        <v>7.04</v>
      </c>
      <c r="C58" s="155" t="s">
        <v>52</v>
      </c>
      <c r="D58" s="14" t="s">
        <v>44</v>
      </c>
      <c r="E58" s="146">
        <v>43</v>
      </c>
      <c r="G58" s="56"/>
      <c r="H58" s="39"/>
    </row>
    <row r="59" spans="1:8" s="19" customFormat="1" x14ac:dyDescent="0.25">
      <c r="A59" s="7" t="s">
        <v>15</v>
      </c>
      <c r="B59" s="104">
        <v>79.47</v>
      </c>
      <c r="C59" s="155" t="s">
        <v>51</v>
      </c>
      <c r="D59" s="14" t="s">
        <v>44</v>
      </c>
      <c r="E59" s="146">
        <v>42</v>
      </c>
      <c r="G59" s="56"/>
      <c r="H59" s="39"/>
    </row>
    <row r="60" spans="1:8" s="19" customFormat="1" x14ac:dyDescent="0.25">
      <c r="A60" s="7" t="s">
        <v>20</v>
      </c>
      <c r="B60" s="104">
        <v>13.57</v>
      </c>
      <c r="C60" s="155" t="s">
        <v>46</v>
      </c>
      <c r="D60" s="14" t="s">
        <v>44</v>
      </c>
      <c r="E60" s="146">
        <v>41</v>
      </c>
      <c r="G60" s="56"/>
      <c r="H60" s="39"/>
    </row>
    <row r="61" spans="1:8" s="19" customFormat="1" x14ac:dyDescent="0.25">
      <c r="A61" s="7" t="s">
        <v>15</v>
      </c>
      <c r="B61" s="104">
        <v>302</v>
      </c>
      <c r="C61" s="155" t="s">
        <v>51</v>
      </c>
      <c r="D61" s="14" t="s">
        <v>44</v>
      </c>
      <c r="E61" s="146">
        <v>40</v>
      </c>
      <c r="G61" s="56"/>
      <c r="H61" s="39"/>
    </row>
    <row r="62" spans="1:8" s="19" customFormat="1" x14ac:dyDescent="0.25">
      <c r="A62" s="7" t="s">
        <v>15</v>
      </c>
      <c r="B62" s="104">
        <v>82.94</v>
      </c>
      <c r="C62" s="155" t="s">
        <v>51</v>
      </c>
      <c r="D62" s="14" t="s">
        <v>44</v>
      </c>
      <c r="E62" s="146">
        <v>39</v>
      </c>
      <c r="G62" s="56"/>
      <c r="H62" s="39"/>
    </row>
    <row r="63" spans="1:8" s="19" customFormat="1" x14ac:dyDescent="0.25">
      <c r="A63" s="7" t="s">
        <v>38</v>
      </c>
      <c r="B63" s="104">
        <v>674.36</v>
      </c>
      <c r="C63" s="155" t="s">
        <v>46</v>
      </c>
      <c r="D63" s="14" t="s">
        <v>44</v>
      </c>
      <c r="E63" s="146">
        <v>38</v>
      </c>
    </row>
    <row r="64" spans="1:8" s="19" customFormat="1" x14ac:dyDescent="0.25">
      <c r="A64" s="12" t="s">
        <v>19</v>
      </c>
      <c r="B64" s="104">
        <v>12.45</v>
      </c>
      <c r="C64" s="155">
        <v>43700</v>
      </c>
      <c r="D64" s="14" t="s">
        <v>44</v>
      </c>
      <c r="E64" s="146">
        <v>37</v>
      </c>
    </row>
    <row r="65" spans="1:8" x14ac:dyDescent="0.25">
      <c r="A65" s="59" t="s">
        <v>24</v>
      </c>
      <c r="B65" s="101">
        <v>47.19</v>
      </c>
      <c r="C65" s="155">
        <v>44430</v>
      </c>
      <c r="D65" s="14" t="s">
        <v>44</v>
      </c>
      <c r="E65" s="146">
        <v>36</v>
      </c>
      <c r="G65" s="43"/>
      <c r="H65" s="43"/>
    </row>
    <row r="66" spans="1:8" s="19" customFormat="1" x14ac:dyDescent="0.25">
      <c r="A66" s="12" t="s">
        <v>15</v>
      </c>
      <c r="B66" s="104">
        <v>52.65</v>
      </c>
      <c r="C66" s="155">
        <v>43699</v>
      </c>
      <c r="D66" s="14" t="s">
        <v>44</v>
      </c>
      <c r="E66" s="146">
        <v>35</v>
      </c>
    </row>
    <row r="67" spans="1:8" s="19" customFormat="1" x14ac:dyDescent="0.25">
      <c r="A67" s="12" t="s">
        <v>15</v>
      </c>
      <c r="B67" s="104">
        <v>71.180000000000007</v>
      </c>
      <c r="C67" s="155">
        <v>43698</v>
      </c>
      <c r="D67" s="14" t="s">
        <v>44</v>
      </c>
      <c r="E67" s="146">
        <v>34</v>
      </c>
    </row>
    <row r="68" spans="1:8" s="19" customFormat="1" x14ac:dyDescent="0.25">
      <c r="A68" s="12" t="s">
        <v>19</v>
      </c>
      <c r="B68" s="104">
        <v>8.1999999999999993</v>
      </c>
      <c r="C68" s="156">
        <v>43696</v>
      </c>
      <c r="D68" s="14" t="s">
        <v>44</v>
      </c>
      <c r="E68" s="146">
        <v>33</v>
      </c>
    </row>
    <row r="69" spans="1:8" x14ac:dyDescent="0.25">
      <c r="A69" s="12" t="s">
        <v>15</v>
      </c>
      <c r="B69" s="101">
        <v>61.17</v>
      </c>
      <c r="C69" s="156">
        <v>43696</v>
      </c>
      <c r="D69" s="14" t="s">
        <v>44</v>
      </c>
      <c r="E69" s="146">
        <v>32</v>
      </c>
    </row>
    <row r="70" spans="1:8" s="19" customFormat="1" x14ac:dyDescent="0.25">
      <c r="A70" s="63" t="s">
        <v>15</v>
      </c>
      <c r="B70" s="105">
        <v>31.02</v>
      </c>
      <c r="C70" s="157">
        <v>43694</v>
      </c>
      <c r="D70" s="14" t="s">
        <v>44</v>
      </c>
      <c r="E70" s="146">
        <v>31</v>
      </c>
      <c r="G70" s="56"/>
      <c r="H70" s="39"/>
    </row>
    <row r="71" spans="1:8" x14ac:dyDescent="0.25">
      <c r="A71" s="59" t="s">
        <v>19</v>
      </c>
      <c r="B71" s="101">
        <v>32.4</v>
      </c>
      <c r="C71" s="156">
        <v>43691</v>
      </c>
      <c r="D71" s="14" t="s">
        <v>44</v>
      </c>
      <c r="E71" s="146">
        <v>30</v>
      </c>
    </row>
    <row r="72" spans="1:8" x14ac:dyDescent="0.25">
      <c r="A72" s="59" t="s">
        <v>15</v>
      </c>
      <c r="B72" s="101">
        <v>57.44</v>
      </c>
      <c r="C72" s="156">
        <v>43691</v>
      </c>
      <c r="D72" s="14" t="s">
        <v>44</v>
      </c>
      <c r="E72" s="146">
        <v>29</v>
      </c>
    </row>
    <row r="73" spans="1:8" s="19" customFormat="1" x14ac:dyDescent="0.25">
      <c r="A73" s="59" t="s">
        <v>15</v>
      </c>
      <c r="B73" s="101">
        <v>162.85</v>
      </c>
      <c r="C73" s="156">
        <v>43687</v>
      </c>
      <c r="D73" s="14" t="s">
        <v>44</v>
      </c>
      <c r="E73" s="146">
        <v>28</v>
      </c>
      <c r="G73" s="56"/>
      <c r="H73" s="39"/>
    </row>
    <row r="74" spans="1:8" s="19" customFormat="1" x14ac:dyDescent="0.25">
      <c r="A74" s="12" t="s">
        <v>19</v>
      </c>
      <c r="B74" s="104">
        <v>41.65</v>
      </c>
      <c r="C74" s="155">
        <v>43687</v>
      </c>
      <c r="D74" s="14" t="s">
        <v>44</v>
      </c>
      <c r="E74" s="146">
        <v>27</v>
      </c>
      <c r="G74" s="56"/>
      <c r="H74" s="39"/>
    </row>
    <row r="75" spans="1:8" s="19" customFormat="1" x14ac:dyDescent="0.25">
      <c r="A75" s="12" t="s">
        <v>19</v>
      </c>
      <c r="B75" s="104">
        <v>25.25</v>
      </c>
      <c r="C75" s="155">
        <v>43687</v>
      </c>
      <c r="D75" s="14" t="s">
        <v>44</v>
      </c>
      <c r="E75" s="146">
        <v>26</v>
      </c>
      <c r="G75" s="56"/>
      <c r="H75" s="39"/>
    </row>
    <row r="76" spans="1:8" s="19" customFormat="1" x14ac:dyDescent="0.25">
      <c r="A76" s="12" t="s">
        <v>20</v>
      </c>
      <c r="B76" s="104">
        <v>8.99</v>
      </c>
      <c r="C76" s="155">
        <v>43686</v>
      </c>
      <c r="D76" s="14" t="s">
        <v>44</v>
      </c>
      <c r="E76" s="146">
        <v>25</v>
      </c>
      <c r="G76" s="56"/>
      <c r="H76" s="39"/>
    </row>
    <row r="77" spans="1:8" s="19" customFormat="1" x14ac:dyDescent="0.25">
      <c r="A77" s="59" t="s">
        <v>21</v>
      </c>
      <c r="B77" s="101">
        <v>11.35</v>
      </c>
      <c r="C77" s="156">
        <v>43686</v>
      </c>
      <c r="D77" s="14" t="s">
        <v>44</v>
      </c>
      <c r="E77" s="146">
        <v>24</v>
      </c>
      <c r="G77" s="56"/>
      <c r="H77" s="39"/>
    </row>
    <row r="78" spans="1:8" s="19" customFormat="1" x14ac:dyDescent="0.25">
      <c r="A78" s="12" t="s">
        <v>15</v>
      </c>
      <c r="B78" s="104">
        <v>10.15</v>
      </c>
      <c r="C78" s="155">
        <v>43685</v>
      </c>
      <c r="D78" s="14" t="s">
        <v>44</v>
      </c>
      <c r="E78" s="146">
        <v>23</v>
      </c>
      <c r="G78" s="56"/>
      <c r="H78" s="39"/>
    </row>
    <row r="79" spans="1:8" s="19" customFormat="1" x14ac:dyDescent="0.25">
      <c r="A79" s="12" t="s">
        <v>15</v>
      </c>
      <c r="B79" s="104">
        <v>92.29</v>
      </c>
      <c r="C79" s="155">
        <v>43685</v>
      </c>
      <c r="D79" s="14" t="s">
        <v>44</v>
      </c>
      <c r="E79" s="146">
        <v>22</v>
      </c>
      <c r="G79" s="56"/>
      <c r="H79" s="39"/>
    </row>
    <row r="80" spans="1:8" x14ac:dyDescent="0.25">
      <c r="A80" s="59" t="s">
        <v>23</v>
      </c>
      <c r="B80" s="101">
        <v>130.16</v>
      </c>
      <c r="C80" s="155">
        <v>44051</v>
      </c>
      <c r="D80" s="14" t="s">
        <v>44</v>
      </c>
      <c r="E80" s="146">
        <v>21</v>
      </c>
    </row>
    <row r="81" spans="1:5" x14ac:dyDescent="0.25">
      <c r="A81" s="59" t="s">
        <v>19</v>
      </c>
      <c r="B81" s="101">
        <v>18.8</v>
      </c>
      <c r="C81" s="156">
        <v>43682</v>
      </c>
      <c r="D81" s="14" t="s">
        <v>44</v>
      </c>
      <c r="E81" s="146">
        <v>20</v>
      </c>
    </row>
    <row r="82" spans="1:5" x14ac:dyDescent="0.25">
      <c r="A82" s="59" t="s">
        <v>22</v>
      </c>
      <c r="B82" s="101">
        <v>285.18</v>
      </c>
      <c r="C82" s="156">
        <v>43681</v>
      </c>
      <c r="D82" s="14" t="s">
        <v>44</v>
      </c>
      <c r="E82" s="146">
        <v>19</v>
      </c>
    </row>
    <row r="83" spans="1:5" x14ac:dyDescent="0.25">
      <c r="A83" s="12" t="s">
        <v>15</v>
      </c>
      <c r="B83" s="104">
        <v>351.58</v>
      </c>
      <c r="C83" s="155">
        <v>43680</v>
      </c>
      <c r="D83" s="14" t="s">
        <v>44</v>
      </c>
      <c r="E83" s="146">
        <v>18</v>
      </c>
    </row>
    <row r="84" spans="1:5" x14ac:dyDescent="0.25">
      <c r="A84" s="12" t="s">
        <v>13</v>
      </c>
      <c r="B84" s="104">
        <v>89.18</v>
      </c>
      <c r="C84" s="155">
        <v>43680</v>
      </c>
      <c r="D84" s="14" t="s">
        <v>44</v>
      </c>
      <c r="E84" s="146">
        <v>17</v>
      </c>
    </row>
    <row r="85" spans="1:5" x14ac:dyDescent="0.25">
      <c r="A85" s="59" t="s">
        <v>15</v>
      </c>
      <c r="B85" s="101">
        <v>60.9</v>
      </c>
      <c r="C85" s="156">
        <v>43680</v>
      </c>
      <c r="D85" s="14" t="s">
        <v>44</v>
      </c>
      <c r="E85" s="146">
        <v>16</v>
      </c>
    </row>
    <row r="86" spans="1:5" x14ac:dyDescent="0.25">
      <c r="A86" s="59" t="s">
        <v>19</v>
      </c>
      <c r="B86" s="101">
        <v>7.55</v>
      </c>
      <c r="C86" s="156">
        <v>43680</v>
      </c>
      <c r="D86" s="14" t="s">
        <v>44</v>
      </c>
      <c r="E86" s="146">
        <v>15</v>
      </c>
    </row>
    <row r="87" spans="1:5" x14ac:dyDescent="0.25">
      <c r="A87" s="59" t="s">
        <v>38</v>
      </c>
      <c r="B87" s="101">
        <v>674.36</v>
      </c>
      <c r="C87" s="156">
        <v>43678</v>
      </c>
      <c r="D87" s="14" t="s">
        <v>44</v>
      </c>
      <c r="E87" s="146">
        <v>14</v>
      </c>
    </row>
    <row r="88" spans="1:5" x14ac:dyDescent="0.25">
      <c r="A88" s="59" t="s">
        <v>42</v>
      </c>
      <c r="B88" s="101">
        <v>368.58</v>
      </c>
      <c r="C88" s="158">
        <v>43667</v>
      </c>
      <c r="D88" s="14" t="s">
        <v>45</v>
      </c>
      <c r="E88" s="146">
        <v>13</v>
      </c>
    </row>
    <row r="89" spans="1:5" x14ac:dyDescent="0.25">
      <c r="A89" s="59" t="s">
        <v>41</v>
      </c>
      <c r="B89" s="101">
        <v>471.79</v>
      </c>
      <c r="C89" s="158">
        <v>43666</v>
      </c>
      <c r="D89" s="14" t="s">
        <v>45</v>
      </c>
      <c r="E89" s="146">
        <v>12</v>
      </c>
    </row>
    <row r="90" spans="1:5" x14ac:dyDescent="0.25">
      <c r="A90" s="59" t="s">
        <v>20</v>
      </c>
      <c r="B90" s="101">
        <v>4.5599999999999996</v>
      </c>
      <c r="C90" s="158">
        <v>43665</v>
      </c>
      <c r="D90" s="14" t="s">
        <v>45</v>
      </c>
      <c r="E90" s="146">
        <v>11</v>
      </c>
    </row>
    <row r="91" spans="1:5" x14ac:dyDescent="0.25">
      <c r="A91" s="59" t="s">
        <v>13</v>
      </c>
      <c r="B91" s="101">
        <v>119.53</v>
      </c>
      <c r="C91" s="158">
        <v>43664</v>
      </c>
      <c r="D91" s="14" t="s">
        <v>45</v>
      </c>
      <c r="E91" s="146">
        <v>10</v>
      </c>
    </row>
    <row r="92" spans="1:5" x14ac:dyDescent="0.25">
      <c r="A92" s="59" t="s">
        <v>22</v>
      </c>
      <c r="B92" s="101">
        <v>902.15</v>
      </c>
      <c r="C92" s="158">
        <v>43663</v>
      </c>
      <c r="D92" s="14" t="s">
        <v>45</v>
      </c>
      <c r="E92" s="146">
        <v>9</v>
      </c>
    </row>
    <row r="93" spans="1:5" x14ac:dyDescent="0.25">
      <c r="A93" s="59" t="s">
        <v>15</v>
      </c>
      <c r="B93" s="101">
        <v>117.78</v>
      </c>
      <c r="C93" s="158">
        <v>43662</v>
      </c>
      <c r="D93" s="14" t="s">
        <v>45</v>
      </c>
      <c r="E93" s="146">
        <v>8</v>
      </c>
    </row>
    <row r="94" spans="1:5" x14ac:dyDescent="0.25">
      <c r="A94" s="59" t="s">
        <v>40</v>
      </c>
      <c r="B94" s="101">
        <v>235</v>
      </c>
      <c r="C94" s="158">
        <v>43661</v>
      </c>
      <c r="D94" s="14" t="s">
        <v>45</v>
      </c>
      <c r="E94" s="146">
        <v>7</v>
      </c>
    </row>
    <row r="95" spans="1:5" x14ac:dyDescent="0.25">
      <c r="A95" s="59" t="s">
        <v>15</v>
      </c>
      <c r="B95" s="101">
        <v>368.69</v>
      </c>
      <c r="C95" s="158">
        <v>43660</v>
      </c>
      <c r="D95" s="14" t="s">
        <v>45</v>
      </c>
      <c r="E95" s="146">
        <v>6</v>
      </c>
    </row>
    <row r="96" spans="1:5" x14ac:dyDescent="0.25">
      <c r="A96" s="59" t="s">
        <v>19</v>
      </c>
      <c r="B96" s="101">
        <v>4.3499999999999996</v>
      </c>
      <c r="C96" s="158">
        <v>43659</v>
      </c>
      <c r="D96" s="14" t="s">
        <v>45</v>
      </c>
      <c r="E96" s="146">
        <v>5</v>
      </c>
    </row>
    <row r="97" spans="1:5" x14ac:dyDescent="0.25">
      <c r="A97" s="59" t="s">
        <v>19</v>
      </c>
      <c r="B97" s="101">
        <v>3</v>
      </c>
      <c r="C97" s="158">
        <v>43658</v>
      </c>
      <c r="D97" s="14" t="s">
        <v>45</v>
      </c>
      <c r="E97" s="146">
        <v>4</v>
      </c>
    </row>
    <row r="98" spans="1:5" x14ac:dyDescent="0.25">
      <c r="A98" s="59" t="s">
        <v>19</v>
      </c>
      <c r="B98" s="101">
        <v>8.3000000000000007</v>
      </c>
      <c r="C98" s="158">
        <v>43657</v>
      </c>
      <c r="D98" s="14" t="s">
        <v>45</v>
      </c>
      <c r="E98" s="146">
        <v>3</v>
      </c>
    </row>
    <row r="99" spans="1:5" x14ac:dyDescent="0.25">
      <c r="A99" s="59" t="s">
        <v>39</v>
      </c>
      <c r="B99" s="101">
        <v>85</v>
      </c>
      <c r="C99" s="158">
        <v>43656</v>
      </c>
      <c r="D99" s="14" t="s">
        <v>45</v>
      </c>
      <c r="E99" s="146">
        <v>2</v>
      </c>
    </row>
    <row r="100" spans="1:5" x14ac:dyDescent="0.25">
      <c r="A100" s="59" t="s">
        <v>19</v>
      </c>
      <c r="B100" s="106">
        <v>11.5</v>
      </c>
      <c r="C100" s="158">
        <v>43655</v>
      </c>
      <c r="D100" s="14" t="s">
        <v>45</v>
      </c>
      <c r="E100" s="146">
        <v>1</v>
      </c>
    </row>
  </sheetData>
  <sortState xmlns:xlrd2="http://schemas.microsoft.com/office/spreadsheetml/2017/richdata2" ref="A27:C40">
    <sortCondition descending="1" ref="C27:C40"/>
  </sortState>
  <mergeCells count="1">
    <mergeCell ref="A4:C4"/>
  </mergeCells>
  <pageMargins left="0.7" right="0.7" top="0.75" bottom="0.75" header="0.3" footer="0.3"/>
  <pageSetup paperSize="0" orientation="portrait" horizontalDpi="203" verticalDpi="203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M15"/>
  <sheetViews>
    <sheetView workbookViewId="0">
      <selection activeCell="A6" sqref="A6:E11"/>
    </sheetView>
  </sheetViews>
  <sheetFormatPr baseColWidth="10" defaultRowHeight="13.2" x14ac:dyDescent="0.25"/>
  <cols>
    <col min="1" max="1" width="18.33203125" style="6" bestFit="1" customWidth="1"/>
    <col min="2" max="2" width="11.44140625" style="9"/>
    <col min="3" max="3" width="11.44140625" style="164"/>
    <col min="4" max="4" width="11.109375" style="3" bestFit="1" customWidth="1"/>
    <col min="5" max="5" width="6" style="167" bestFit="1" customWidth="1"/>
    <col min="6" max="6" width="5.44140625" customWidth="1"/>
  </cols>
  <sheetData>
    <row r="1" spans="1:13" s="1" customFormat="1" x14ac:dyDescent="0.25">
      <c r="A1" s="86" t="s">
        <v>241</v>
      </c>
      <c r="B1" s="74"/>
      <c r="C1" s="161" t="s">
        <v>243</v>
      </c>
      <c r="D1" s="85"/>
      <c r="E1" s="165" t="s">
        <v>245</v>
      </c>
      <c r="G1" s="76" t="s">
        <v>45</v>
      </c>
      <c r="H1" s="73">
        <f>SUMIF($D$5:$D$50,G1,$B$5:$B$50)</f>
        <v>0</v>
      </c>
      <c r="I1" s="76" t="s">
        <v>47</v>
      </c>
      <c r="J1" s="73">
        <f>SUMIF($D$5:$D$50,I1,$B$5:$B$50)</f>
        <v>0</v>
      </c>
      <c r="K1" s="76" t="s">
        <v>49</v>
      </c>
      <c r="L1" s="73">
        <f>SUMIF($D$5:$D$50,K1,$B$5:$B$50)</f>
        <v>0</v>
      </c>
    </row>
    <row r="2" spans="1:13" s="1" customFormat="1" x14ac:dyDescent="0.25">
      <c r="A2" s="86" t="s">
        <v>242</v>
      </c>
      <c r="B2" s="74"/>
      <c r="C2" s="161" t="s">
        <v>244</v>
      </c>
      <c r="D2" s="85"/>
      <c r="E2" s="165" t="s">
        <v>246</v>
      </c>
      <c r="G2" s="76" t="s">
        <v>44</v>
      </c>
      <c r="H2" s="73">
        <f>SUMIF($D$5:$D$50,G2,$B$5:$B$50)</f>
        <v>0</v>
      </c>
      <c r="I2" s="76" t="s">
        <v>48</v>
      </c>
      <c r="J2" s="73">
        <f>SUMIF($D$5:$D$50,I2,$B$5:$B$50)</f>
        <v>1200</v>
      </c>
      <c r="K2" s="76" t="s">
        <v>50</v>
      </c>
      <c r="L2" s="73">
        <f>SUMIF($D$5:$D$50,K2,$B$5:$B$50)</f>
        <v>0</v>
      </c>
    </row>
    <row r="3" spans="1:13" s="71" customFormat="1" ht="13.8" thickBot="1" x14ac:dyDescent="0.3">
      <c r="A3" s="83"/>
      <c r="B3" s="69"/>
      <c r="C3" s="162"/>
      <c r="D3" s="84"/>
      <c r="E3" s="166"/>
    </row>
    <row r="4" spans="1:13" ht="14.4" thickBot="1" x14ac:dyDescent="0.3">
      <c r="A4" s="221" t="s">
        <v>2</v>
      </c>
      <c r="B4" s="221"/>
      <c r="C4" s="221"/>
      <c r="D4" s="13">
        <f>DSUM(A5:C81,B5,H4:J5)</f>
        <v>1200</v>
      </c>
      <c r="I4" s="29" t="s">
        <v>25</v>
      </c>
      <c r="J4" s="30" t="s">
        <v>5</v>
      </c>
      <c r="K4" s="28" t="s">
        <v>9</v>
      </c>
      <c r="L4" s="3">
        <v>6</v>
      </c>
      <c r="M4">
        <v>0</v>
      </c>
    </row>
    <row r="5" spans="1:13" s="4" customFormat="1" ht="13.8" thickBot="1" x14ac:dyDescent="0.3">
      <c r="A5" s="5" t="s">
        <v>25</v>
      </c>
      <c r="B5" s="31" t="s">
        <v>5</v>
      </c>
      <c r="C5" s="163" t="s">
        <v>9</v>
      </c>
      <c r="D5" s="32" t="s">
        <v>43</v>
      </c>
      <c r="E5" s="168" t="s">
        <v>221</v>
      </c>
    </row>
    <row r="6" spans="1:13" s="4" customFormat="1" x14ac:dyDescent="0.25">
      <c r="A6" s="139" t="s">
        <v>216</v>
      </c>
      <c r="B6" s="140">
        <v>200</v>
      </c>
      <c r="C6" s="159">
        <v>43757</v>
      </c>
      <c r="D6" s="141" t="s">
        <v>48</v>
      </c>
      <c r="E6" s="169">
        <v>6</v>
      </c>
    </row>
    <row r="7" spans="1:13" s="4" customFormat="1" x14ac:dyDescent="0.25">
      <c r="A7" s="139" t="s">
        <v>215</v>
      </c>
      <c r="B7" s="140">
        <v>200</v>
      </c>
      <c r="C7" s="159" t="s">
        <v>299</v>
      </c>
      <c r="D7" s="141" t="s">
        <v>48</v>
      </c>
      <c r="E7" s="169">
        <v>5</v>
      </c>
    </row>
    <row r="8" spans="1:13" s="4" customFormat="1" x14ac:dyDescent="0.25">
      <c r="A8" s="139" t="s">
        <v>214</v>
      </c>
      <c r="B8" s="140">
        <v>200</v>
      </c>
      <c r="C8" s="159" t="s">
        <v>299</v>
      </c>
      <c r="D8" s="141" t="s">
        <v>48</v>
      </c>
      <c r="E8" s="169">
        <v>4</v>
      </c>
    </row>
    <row r="9" spans="1:13" s="4" customFormat="1" x14ac:dyDescent="0.25">
      <c r="A9" s="33" t="s">
        <v>216</v>
      </c>
      <c r="B9" s="36">
        <v>200</v>
      </c>
      <c r="C9" s="160" t="s">
        <v>237</v>
      </c>
      <c r="D9" s="34" t="s">
        <v>48</v>
      </c>
      <c r="E9" s="170">
        <v>3</v>
      </c>
    </row>
    <row r="10" spans="1:13" s="4" customFormat="1" x14ac:dyDescent="0.25">
      <c r="A10" s="33" t="s">
        <v>215</v>
      </c>
      <c r="B10" s="36">
        <v>200</v>
      </c>
      <c r="C10" s="160" t="s">
        <v>237</v>
      </c>
      <c r="D10" s="34" t="s">
        <v>48</v>
      </c>
      <c r="E10" s="170">
        <v>2</v>
      </c>
    </row>
    <row r="11" spans="1:13" s="4" customFormat="1" x14ac:dyDescent="0.25">
      <c r="A11" s="33" t="s">
        <v>214</v>
      </c>
      <c r="B11" s="36">
        <v>200</v>
      </c>
      <c r="C11" s="160" t="s">
        <v>237</v>
      </c>
      <c r="D11" s="34" t="s">
        <v>48</v>
      </c>
      <c r="E11" s="170">
        <v>1</v>
      </c>
    </row>
    <row r="12" spans="1:13" s="4" customFormat="1" x14ac:dyDescent="0.25">
      <c r="A12" s="7"/>
      <c r="B12" s="8"/>
      <c r="C12" s="155"/>
      <c r="D12" s="3"/>
      <c r="E12" s="167"/>
    </row>
    <row r="13" spans="1:13" s="4" customFormat="1" x14ac:dyDescent="0.25">
      <c r="A13" s="7"/>
      <c r="B13" s="8"/>
      <c r="C13" s="155"/>
      <c r="D13" s="3"/>
      <c r="E13" s="167"/>
    </row>
    <row r="14" spans="1:13" s="4" customFormat="1" x14ac:dyDescent="0.25">
      <c r="A14" s="6"/>
      <c r="B14" s="9"/>
      <c r="C14" s="164"/>
      <c r="D14" s="3"/>
      <c r="E14" s="167"/>
    </row>
    <row r="15" spans="1:13" s="4" customFormat="1" x14ac:dyDescent="0.25">
      <c r="A15" s="6"/>
      <c r="B15" s="9"/>
      <c r="C15" s="164"/>
      <c r="D15" s="3"/>
      <c r="E15" s="167"/>
    </row>
  </sheetData>
  <mergeCells count="1">
    <mergeCell ref="A4:C4"/>
  </mergeCells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C15"/>
  <sheetViews>
    <sheetView workbookViewId="0">
      <selection activeCell="E20" sqref="E20"/>
    </sheetView>
  </sheetViews>
  <sheetFormatPr baseColWidth="10" defaultRowHeight="13.2" x14ac:dyDescent="0.25"/>
  <cols>
    <col min="1" max="1" width="13.88671875" style="1" bestFit="1" customWidth="1"/>
    <col min="2" max="2" width="16.6640625" style="1" bestFit="1" customWidth="1"/>
    <col min="3" max="3" width="18.33203125" style="1" bestFit="1" customWidth="1"/>
  </cols>
  <sheetData>
    <row r="1" spans="1:3" s="3" customFormat="1" x14ac:dyDescent="0.25">
      <c r="A1" s="18" t="s">
        <v>4</v>
      </c>
      <c r="B1" s="17" t="s">
        <v>6</v>
      </c>
      <c r="C1" s="18" t="s">
        <v>8</v>
      </c>
    </row>
    <row r="2" spans="1:3" x14ac:dyDescent="0.25">
      <c r="A2" t="s">
        <v>18</v>
      </c>
      <c r="B2" s="1" t="s">
        <v>21</v>
      </c>
      <c r="C2" t="s">
        <v>214</v>
      </c>
    </row>
    <row r="3" spans="1:3" x14ac:dyDescent="0.25">
      <c r="A3" t="s">
        <v>12</v>
      </c>
      <c r="B3" s="1" t="s">
        <v>13</v>
      </c>
      <c r="C3" t="s">
        <v>215</v>
      </c>
    </row>
    <row r="4" spans="1:3" x14ac:dyDescent="0.25">
      <c r="A4" t="s">
        <v>14</v>
      </c>
      <c r="B4" s="1" t="s">
        <v>15</v>
      </c>
      <c r="C4" t="s">
        <v>216</v>
      </c>
    </row>
    <row r="5" spans="1:3" x14ac:dyDescent="0.25">
      <c r="A5" t="s">
        <v>16</v>
      </c>
      <c r="B5" s="1" t="s">
        <v>19</v>
      </c>
    </row>
    <row r="6" spans="1:3" x14ac:dyDescent="0.25">
      <c r="A6" t="s">
        <v>307</v>
      </c>
      <c r="B6" s="1" t="s">
        <v>20</v>
      </c>
    </row>
    <row r="7" spans="1:3" x14ac:dyDescent="0.25">
      <c r="A7" t="s">
        <v>27</v>
      </c>
      <c r="B7" s="1" t="s">
        <v>11</v>
      </c>
    </row>
    <row r="8" spans="1:3" x14ac:dyDescent="0.25">
      <c r="A8" t="s">
        <v>10</v>
      </c>
      <c r="B8" s="1" t="s">
        <v>22</v>
      </c>
    </row>
    <row r="9" spans="1:3" x14ac:dyDescent="0.25">
      <c r="B9" s="1" t="s">
        <v>23</v>
      </c>
    </row>
    <row r="10" spans="1:3" x14ac:dyDescent="0.25">
      <c r="B10" s="1" t="s">
        <v>24</v>
      </c>
    </row>
    <row r="11" spans="1:3" x14ac:dyDescent="0.25">
      <c r="B11" s="19" t="s">
        <v>53</v>
      </c>
    </row>
    <row r="12" spans="1:3" x14ac:dyDescent="0.25">
      <c r="B12" s="19" t="s">
        <v>55</v>
      </c>
    </row>
    <row r="13" spans="1:3" x14ac:dyDescent="0.25">
      <c r="B13" s="19" t="s">
        <v>38</v>
      </c>
    </row>
    <row r="14" spans="1:3" x14ac:dyDescent="0.25">
      <c r="B14" s="24" t="s">
        <v>81</v>
      </c>
    </row>
    <row r="15" spans="1:3" x14ac:dyDescent="0.25">
      <c r="B15" s="24" t="s">
        <v>249</v>
      </c>
    </row>
  </sheetData>
  <sortState xmlns:xlrd2="http://schemas.microsoft.com/office/spreadsheetml/2017/richdata2" ref="A2:C18">
    <sortCondition ref="A1"/>
  </sortState>
  <pageMargins left="0.7" right="0.7" top="0.75" bottom="0.75" header="0.3" footer="0.3"/>
  <pageSetup paperSize="0" orientation="portrait" horizontalDpi="203" verticalDpi="203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pageSetUpPr fitToPage="1"/>
  </sheetPr>
  <dimension ref="A1:I109"/>
  <sheetViews>
    <sheetView workbookViewId="0">
      <selection activeCell="F1" sqref="F1"/>
    </sheetView>
  </sheetViews>
  <sheetFormatPr baseColWidth="10" defaultRowHeight="13.2" x14ac:dyDescent="0.25"/>
  <cols>
    <col min="1" max="1" width="13.5546875" bestFit="1" customWidth="1"/>
    <col min="2" max="2" width="13.6640625" bestFit="1" customWidth="1"/>
    <col min="3" max="3" width="19.44140625" bestFit="1" customWidth="1"/>
    <col min="4" max="4" width="6.88671875" bestFit="1" customWidth="1"/>
  </cols>
  <sheetData>
    <row r="1" spans="1:9" ht="57" customHeight="1" x14ac:dyDescent="0.25"/>
    <row r="2" spans="1:9" s="3" customFormat="1" x14ac:dyDescent="0.25">
      <c r="A2" s="3" t="s">
        <v>188</v>
      </c>
      <c r="B2" t="s">
        <v>103</v>
      </c>
      <c r="C2" t="s">
        <v>104</v>
      </c>
      <c r="D2" t="s">
        <v>3</v>
      </c>
      <c r="E2" t="s">
        <v>267</v>
      </c>
      <c r="F2" t="s">
        <v>268</v>
      </c>
      <c r="G2" t="s">
        <v>105</v>
      </c>
      <c r="H2" t="s">
        <v>269</v>
      </c>
      <c r="I2" t="s">
        <v>270</v>
      </c>
    </row>
    <row r="3" spans="1:9" x14ac:dyDescent="0.25">
      <c r="A3" t="str">
        <f t="shared" ref="A3:A40" si="0">B3</f>
        <v>Pizza Familiar</v>
      </c>
      <c r="B3" t="s">
        <v>106</v>
      </c>
      <c r="C3" t="s">
        <v>107</v>
      </c>
      <c r="D3">
        <v>4</v>
      </c>
      <c r="E3">
        <v>9.09</v>
      </c>
      <c r="F3">
        <v>0.91</v>
      </c>
      <c r="G3">
        <v>10</v>
      </c>
      <c r="H3">
        <v>4</v>
      </c>
      <c r="I3">
        <v>5.09</v>
      </c>
    </row>
    <row r="4" spans="1:9" x14ac:dyDescent="0.25">
      <c r="A4" t="str">
        <f t="shared" si="0"/>
        <v>Pizza Mediana</v>
      </c>
      <c r="B4" t="s">
        <v>108</v>
      </c>
      <c r="C4" t="s">
        <v>109</v>
      </c>
      <c r="D4">
        <v>6</v>
      </c>
      <c r="E4">
        <v>10.91</v>
      </c>
      <c r="F4">
        <v>1.0900000000000001</v>
      </c>
      <c r="G4">
        <v>12</v>
      </c>
      <c r="H4">
        <v>6</v>
      </c>
      <c r="I4">
        <v>4.91</v>
      </c>
    </row>
    <row r="5" spans="1:9" x14ac:dyDescent="0.25">
      <c r="A5" t="str">
        <f t="shared" si="0"/>
        <v>Pizza Familiar</v>
      </c>
      <c r="B5" t="s">
        <v>106</v>
      </c>
      <c r="C5" t="s">
        <v>110</v>
      </c>
      <c r="D5">
        <v>1</v>
      </c>
      <c r="E5">
        <v>20.91</v>
      </c>
      <c r="F5">
        <v>2.09</v>
      </c>
      <c r="G5">
        <v>23</v>
      </c>
      <c r="H5">
        <v>3.5</v>
      </c>
      <c r="I5">
        <v>17.41</v>
      </c>
    </row>
    <row r="6" spans="1:9" x14ac:dyDescent="0.25">
      <c r="A6" t="str">
        <f t="shared" si="0"/>
        <v>Pizza Familiar</v>
      </c>
      <c r="B6" t="s">
        <v>106</v>
      </c>
      <c r="C6" t="s">
        <v>111</v>
      </c>
      <c r="D6">
        <v>1</v>
      </c>
      <c r="E6">
        <v>23.18</v>
      </c>
      <c r="F6">
        <v>2.3199999999999998</v>
      </c>
      <c r="G6">
        <v>25.5</v>
      </c>
      <c r="H6">
        <v>3.5</v>
      </c>
      <c r="I6">
        <v>19.68</v>
      </c>
    </row>
    <row r="7" spans="1:9" x14ac:dyDescent="0.25">
      <c r="A7" t="str">
        <f t="shared" si="0"/>
        <v>Pizza Familiar</v>
      </c>
      <c r="B7" t="s">
        <v>106</v>
      </c>
      <c r="C7" t="s">
        <v>112</v>
      </c>
      <c r="D7">
        <v>5</v>
      </c>
      <c r="E7">
        <v>115.91</v>
      </c>
      <c r="F7">
        <v>11.59</v>
      </c>
      <c r="G7">
        <v>127.5</v>
      </c>
      <c r="H7">
        <v>17.5</v>
      </c>
      <c r="I7">
        <v>98.41</v>
      </c>
    </row>
    <row r="8" spans="1:9" x14ac:dyDescent="0.25">
      <c r="A8" t="str">
        <f t="shared" si="0"/>
        <v>Pizza Familiar</v>
      </c>
      <c r="B8" t="s">
        <v>106</v>
      </c>
      <c r="C8" t="s">
        <v>113</v>
      </c>
      <c r="D8">
        <v>4</v>
      </c>
      <c r="E8">
        <v>92.73</v>
      </c>
      <c r="F8">
        <v>9.27</v>
      </c>
      <c r="G8">
        <v>102</v>
      </c>
      <c r="H8">
        <v>14</v>
      </c>
      <c r="I8">
        <v>78.73</v>
      </c>
    </row>
    <row r="9" spans="1:9" x14ac:dyDescent="0.25">
      <c r="A9" t="str">
        <f t="shared" si="0"/>
        <v>Pizza Familiar</v>
      </c>
      <c r="B9" t="s">
        <v>106</v>
      </c>
      <c r="C9" t="s">
        <v>114</v>
      </c>
      <c r="D9">
        <v>3</v>
      </c>
      <c r="E9">
        <v>69.55</v>
      </c>
      <c r="F9">
        <v>6.95</v>
      </c>
      <c r="G9">
        <v>76.5</v>
      </c>
      <c r="H9">
        <v>9</v>
      </c>
      <c r="I9">
        <v>60.55</v>
      </c>
    </row>
    <row r="10" spans="1:9" x14ac:dyDescent="0.25">
      <c r="A10" t="str">
        <f t="shared" si="0"/>
        <v>Pizza Familiar</v>
      </c>
      <c r="B10" t="s">
        <v>106</v>
      </c>
      <c r="C10" t="s">
        <v>115</v>
      </c>
      <c r="D10">
        <v>1</v>
      </c>
      <c r="E10">
        <v>20.91</v>
      </c>
      <c r="F10">
        <v>2.09</v>
      </c>
      <c r="G10">
        <v>23</v>
      </c>
      <c r="H10">
        <v>2.8</v>
      </c>
      <c r="I10">
        <v>18.11</v>
      </c>
    </row>
    <row r="11" spans="1:9" x14ac:dyDescent="0.25">
      <c r="A11" t="str">
        <f t="shared" si="0"/>
        <v>Pizza Familiar</v>
      </c>
      <c r="B11" t="s">
        <v>106</v>
      </c>
      <c r="C11" t="s">
        <v>116</v>
      </c>
      <c r="D11">
        <v>1</v>
      </c>
      <c r="E11">
        <v>23.18</v>
      </c>
      <c r="F11">
        <v>2.3199999999999998</v>
      </c>
      <c r="G11">
        <v>25.5</v>
      </c>
      <c r="H11">
        <v>3.5</v>
      </c>
      <c r="I11">
        <v>19.68</v>
      </c>
    </row>
    <row r="12" spans="1:9" x14ac:dyDescent="0.25">
      <c r="A12" t="str">
        <f t="shared" si="0"/>
        <v>Pizza Familiar</v>
      </c>
      <c r="B12" t="s">
        <v>106</v>
      </c>
      <c r="C12" t="s">
        <v>117</v>
      </c>
      <c r="D12">
        <v>4</v>
      </c>
      <c r="E12">
        <v>92.73</v>
      </c>
      <c r="F12">
        <v>9.27</v>
      </c>
      <c r="G12">
        <v>102</v>
      </c>
      <c r="H12">
        <v>14</v>
      </c>
      <c r="I12">
        <v>78.73</v>
      </c>
    </row>
    <row r="13" spans="1:9" x14ac:dyDescent="0.25">
      <c r="A13" t="str">
        <f t="shared" si="0"/>
        <v>Pizza Familiar</v>
      </c>
      <c r="B13" t="s">
        <v>106</v>
      </c>
      <c r="C13" t="s">
        <v>118</v>
      </c>
      <c r="D13">
        <v>6</v>
      </c>
      <c r="E13">
        <v>139.09</v>
      </c>
      <c r="F13">
        <v>13.91</v>
      </c>
      <c r="G13">
        <v>153</v>
      </c>
      <c r="H13">
        <v>21</v>
      </c>
      <c r="I13">
        <v>118.09</v>
      </c>
    </row>
    <row r="14" spans="1:9" x14ac:dyDescent="0.25">
      <c r="A14" t="str">
        <f t="shared" si="0"/>
        <v>Pizza Familiar</v>
      </c>
      <c r="B14" t="s">
        <v>106</v>
      </c>
      <c r="C14" t="s">
        <v>119</v>
      </c>
      <c r="D14">
        <v>1</v>
      </c>
      <c r="E14">
        <v>23.18</v>
      </c>
      <c r="F14">
        <v>2.3199999999999998</v>
      </c>
      <c r="G14">
        <v>25.5</v>
      </c>
      <c r="H14">
        <v>3.5</v>
      </c>
      <c r="I14">
        <v>19.68</v>
      </c>
    </row>
    <row r="15" spans="1:9" x14ac:dyDescent="0.25">
      <c r="A15" t="str">
        <f t="shared" si="0"/>
        <v>Pizza Familiar</v>
      </c>
      <c r="B15" t="s">
        <v>106</v>
      </c>
      <c r="C15" t="s">
        <v>121</v>
      </c>
      <c r="D15">
        <v>1</v>
      </c>
      <c r="E15">
        <v>15</v>
      </c>
      <c r="F15">
        <v>1.5</v>
      </c>
      <c r="G15">
        <v>16.5</v>
      </c>
      <c r="H15">
        <v>3.5</v>
      </c>
      <c r="I15">
        <v>11.5</v>
      </c>
    </row>
    <row r="16" spans="1:9" x14ac:dyDescent="0.25">
      <c r="A16" t="str">
        <f t="shared" si="0"/>
        <v>Pizza Familiar</v>
      </c>
      <c r="B16" t="s">
        <v>106</v>
      </c>
      <c r="C16" t="s">
        <v>122</v>
      </c>
      <c r="D16">
        <v>3</v>
      </c>
      <c r="E16">
        <v>43.64</v>
      </c>
      <c r="F16">
        <v>4.3600000000000003</v>
      </c>
      <c r="G16">
        <v>48</v>
      </c>
      <c r="H16">
        <v>10.5</v>
      </c>
      <c r="I16">
        <v>33.14</v>
      </c>
    </row>
    <row r="17" spans="1:9" x14ac:dyDescent="0.25">
      <c r="A17" t="str">
        <f t="shared" si="0"/>
        <v>Pizza Individual</v>
      </c>
      <c r="B17" t="s">
        <v>123</v>
      </c>
      <c r="C17" t="s">
        <v>110</v>
      </c>
      <c r="D17">
        <v>2</v>
      </c>
      <c r="E17">
        <v>13.64</v>
      </c>
      <c r="F17">
        <v>1.36</v>
      </c>
      <c r="G17">
        <v>15</v>
      </c>
      <c r="H17">
        <v>3.4</v>
      </c>
      <c r="I17">
        <v>10.24</v>
      </c>
    </row>
    <row r="18" spans="1:9" x14ac:dyDescent="0.25">
      <c r="A18" t="str">
        <f t="shared" si="0"/>
        <v>Pizza Individual</v>
      </c>
      <c r="B18" t="s">
        <v>123</v>
      </c>
      <c r="C18" t="s">
        <v>111</v>
      </c>
      <c r="D18">
        <v>1</v>
      </c>
      <c r="E18">
        <v>7.73</v>
      </c>
      <c r="F18">
        <v>0.77</v>
      </c>
      <c r="G18">
        <v>8.5</v>
      </c>
      <c r="H18">
        <v>1.7</v>
      </c>
      <c r="I18">
        <v>6.03</v>
      </c>
    </row>
    <row r="19" spans="1:9" x14ac:dyDescent="0.25">
      <c r="A19" t="str">
        <f t="shared" si="0"/>
        <v>Pizza Individual</v>
      </c>
      <c r="B19" t="s">
        <v>123</v>
      </c>
      <c r="C19" t="s">
        <v>112</v>
      </c>
      <c r="D19">
        <v>3</v>
      </c>
      <c r="E19">
        <v>23.18</v>
      </c>
      <c r="F19">
        <v>2.3199999999999998</v>
      </c>
      <c r="G19">
        <v>25.5</v>
      </c>
      <c r="H19">
        <v>5.0999999999999996</v>
      </c>
      <c r="I19">
        <v>18.079999999999998</v>
      </c>
    </row>
    <row r="20" spans="1:9" x14ac:dyDescent="0.25">
      <c r="A20" t="str">
        <f t="shared" si="0"/>
        <v>Pizza Individual</v>
      </c>
      <c r="B20" t="s">
        <v>123</v>
      </c>
      <c r="C20" t="s">
        <v>113</v>
      </c>
      <c r="D20">
        <v>3</v>
      </c>
      <c r="E20">
        <v>23.18</v>
      </c>
      <c r="F20">
        <v>2.3199999999999998</v>
      </c>
      <c r="G20">
        <v>25.5</v>
      </c>
      <c r="H20">
        <v>5.0999999999999996</v>
      </c>
      <c r="I20">
        <v>18.079999999999998</v>
      </c>
    </row>
    <row r="21" spans="1:9" x14ac:dyDescent="0.25">
      <c r="A21" t="str">
        <f t="shared" si="0"/>
        <v>Pizza Individual</v>
      </c>
      <c r="B21" t="s">
        <v>123</v>
      </c>
      <c r="C21" t="s">
        <v>114</v>
      </c>
      <c r="D21">
        <v>3</v>
      </c>
      <c r="E21">
        <v>20.45</v>
      </c>
      <c r="F21">
        <v>2.0499999999999998</v>
      </c>
      <c r="G21">
        <v>22.5</v>
      </c>
      <c r="H21">
        <v>5.0999999999999996</v>
      </c>
      <c r="I21">
        <v>15.35</v>
      </c>
    </row>
    <row r="22" spans="1:9" x14ac:dyDescent="0.25">
      <c r="A22" t="str">
        <f t="shared" si="0"/>
        <v>Pizza Individual</v>
      </c>
      <c r="B22" t="s">
        <v>123</v>
      </c>
      <c r="C22" t="s">
        <v>116</v>
      </c>
      <c r="D22">
        <v>3</v>
      </c>
      <c r="E22">
        <v>23.18</v>
      </c>
      <c r="F22">
        <v>2.3199999999999998</v>
      </c>
      <c r="G22">
        <v>25.5</v>
      </c>
      <c r="H22">
        <v>5.0999999999999996</v>
      </c>
      <c r="I22">
        <v>18.079999999999998</v>
      </c>
    </row>
    <row r="23" spans="1:9" x14ac:dyDescent="0.25">
      <c r="A23" t="str">
        <f t="shared" si="0"/>
        <v>Pizza Individual</v>
      </c>
      <c r="B23" t="s">
        <v>123</v>
      </c>
      <c r="C23" t="s">
        <v>117</v>
      </c>
      <c r="D23">
        <v>3</v>
      </c>
      <c r="E23">
        <v>23.18</v>
      </c>
      <c r="F23">
        <v>2.3199999999999998</v>
      </c>
      <c r="G23">
        <v>25.5</v>
      </c>
      <c r="H23">
        <v>5.0999999999999996</v>
      </c>
      <c r="I23">
        <v>18.079999999999998</v>
      </c>
    </row>
    <row r="24" spans="1:9" x14ac:dyDescent="0.25">
      <c r="A24" t="str">
        <f t="shared" si="0"/>
        <v>Pizza Individual</v>
      </c>
      <c r="B24" t="s">
        <v>123</v>
      </c>
      <c r="C24" t="s">
        <v>118</v>
      </c>
      <c r="D24">
        <v>3</v>
      </c>
      <c r="E24">
        <v>23.18</v>
      </c>
      <c r="F24">
        <v>2.3199999999999998</v>
      </c>
      <c r="G24">
        <v>25.5</v>
      </c>
      <c r="H24">
        <v>5.0999999999999996</v>
      </c>
      <c r="I24">
        <v>18.079999999999998</v>
      </c>
    </row>
    <row r="25" spans="1:9" x14ac:dyDescent="0.25">
      <c r="A25" t="str">
        <f t="shared" si="0"/>
        <v>Pizza Individual</v>
      </c>
      <c r="B25" t="s">
        <v>123</v>
      </c>
      <c r="C25" t="s">
        <v>119</v>
      </c>
      <c r="D25">
        <v>3</v>
      </c>
      <c r="E25">
        <v>23.18</v>
      </c>
      <c r="F25">
        <v>2.3199999999999998</v>
      </c>
      <c r="G25">
        <v>25.5</v>
      </c>
      <c r="H25">
        <v>5.0999999999999996</v>
      </c>
      <c r="I25">
        <v>18.079999999999998</v>
      </c>
    </row>
    <row r="26" spans="1:9" x14ac:dyDescent="0.25">
      <c r="A26" t="str">
        <f t="shared" si="0"/>
        <v>Pizza Individual</v>
      </c>
      <c r="B26" t="s">
        <v>123</v>
      </c>
      <c r="C26" t="s">
        <v>120</v>
      </c>
      <c r="D26">
        <v>2</v>
      </c>
      <c r="E26">
        <v>15.45</v>
      </c>
      <c r="F26">
        <v>1.55</v>
      </c>
      <c r="G26">
        <v>17</v>
      </c>
      <c r="H26">
        <v>3.4</v>
      </c>
      <c r="I26">
        <v>12.049999999999999</v>
      </c>
    </row>
    <row r="27" spans="1:9" x14ac:dyDescent="0.25">
      <c r="A27" t="str">
        <f t="shared" si="0"/>
        <v>Pizza Individual</v>
      </c>
      <c r="B27" t="s">
        <v>123</v>
      </c>
      <c r="C27" t="s">
        <v>121</v>
      </c>
      <c r="D27">
        <v>1</v>
      </c>
      <c r="E27">
        <v>5.91</v>
      </c>
      <c r="F27">
        <v>0.59</v>
      </c>
      <c r="G27">
        <v>6.5</v>
      </c>
      <c r="H27">
        <v>1.7</v>
      </c>
      <c r="I27">
        <v>4.21</v>
      </c>
    </row>
    <row r="28" spans="1:9" x14ac:dyDescent="0.25">
      <c r="A28" t="str">
        <f t="shared" si="0"/>
        <v>Pizza Individual</v>
      </c>
      <c r="B28" t="s">
        <v>123</v>
      </c>
      <c r="C28" t="s">
        <v>122</v>
      </c>
      <c r="D28">
        <v>11</v>
      </c>
      <c r="E28">
        <v>60</v>
      </c>
      <c r="F28">
        <v>6</v>
      </c>
      <c r="G28">
        <v>66</v>
      </c>
      <c r="H28">
        <v>18.7</v>
      </c>
      <c r="I28">
        <v>41.3</v>
      </c>
    </row>
    <row r="29" spans="1:9" x14ac:dyDescent="0.25">
      <c r="A29" t="str">
        <f t="shared" si="0"/>
        <v>Pizza Mediana</v>
      </c>
      <c r="B29" t="s">
        <v>108</v>
      </c>
      <c r="C29" t="s">
        <v>110</v>
      </c>
      <c r="D29">
        <v>4</v>
      </c>
      <c r="E29">
        <v>63.64</v>
      </c>
      <c r="F29">
        <v>6.36</v>
      </c>
      <c r="G29">
        <v>70</v>
      </c>
      <c r="H29">
        <v>14</v>
      </c>
      <c r="I29">
        <v>49.64</v>
      </c>
    </row>
    <row r="30" spans="1:9" x14ac:dyDescent="0.25">
      <c r="A30" t="str">
        <f t="shared" si="0"/>
        <v>Pizza Mediana</v>
      </c>
      <c r="B30" t="s">
        <v>108</v>
      </c>
      <c r="C30" t="s">
        <v>111</v>
      </c>
      <c r="D30">
        <v>2</v>
      </c>
      <c r="E30">
        <v>31.82</v>
      </c>
      <c r="F30">
        <v>3.18</v>
      </c>
      <c r="G30">
        <v>35</v>
      </c>
      <c r="H30">
        <v>7</v>
      </c>
      <c r="I30">
        <v>24.82</v>
      </c>
    </row>
    <row r="31" spans="1:9" x14ac:dyDescent="0.25">
      <c r="A31" t="str">
        <f t="shared" si="0"/>
        <v>Pizza Mediana</v>
      </c>
      <c r="B31" t="s">
        <v>108</v>
      </c>
      <c r="C31" t="s">
        <v>112</v>
      </c>
      <c r="D31">
        <v>9</v>
      </c>
      <c r="E31">
        <v>143.18</v>
      </c>
      <c r="F31">
        <v>14.32</v>
      </c>
      <c r="G31">
        <v>157.5</v>
      </c>
      <c r="H31">
        <v>31.5</v>
      </c>
      <c r="I31">
        <v>111.68</v>
      </c>
    </row>
    <row r="32" spans="1:9" x14ac:dyDescent="0.25">
      <c r="A32" t="str">
        <f t="shared" si="0"/>
        <v>Pizza Mediana</v>
      </c>
      <c r="B32" t="s">
        <v>108</v>
      </c>
      <c r="C32" t="s">
        <v>113</v>
      </c>
      <c r="D32">
        <v>6</v>
      </c>
      <c r="E32">
        <v>95.45</v>
      </c>
      <c r="F32">
        <v>9.5500000000000007</v>
      </c>
      <c r="G32">
        <v>105</v>
      </c>
      <c r="H32">
        <v>21</v>
      </c>
      <c r="I32">
        <v>74.45</v>
      </c>
    </row>
    <row r="33" spans="1:9" x14ac:dyDescent="0.25">
      <c r="A33" t="str">
        <f t="shared" si="0"/>
        <v>Pizza Mediana</v>
      </c>
      <c r="B33" t="s">
        <v>108</v>
      </c>
      <c r="C33" t="s">
        <v>114</v>
      </c>
      <c r="D33">
        <v>2</v>
      </c>
      <c r="E33">
        <v>31.82</v>
      </c>
      <c r="F33">
        <v>3.18</v>
      </c>
      <c r="G33">
        <v>35</v>
      </c>
      <c r="H33">
        <v>6</v>
      </c>
      <c r="I33">
        <v>25.82</v>
      </c>
    </row>
    <row r="34" spans="1:9" x14ac:dyDescent="0.25">
      <c r="A34" t="str">
        <f t="shared" si="0"/>
        <v>Pizza Mediana</v>
      </c>
      <c r="B34" t="s">
        <v>108</v>
      </c>
      <c r="C34" t="s">
        <v>115</v>
      </c>
      <c r="D34">
        <v>2</v>
      </c>
      <c r="E34">
        <v>31.82</v>
      </c>
      <c r="F34">
        <v>3.18</v>
      </c>
      <c r="G34">
        <v>35</v>
      </c>
      <c r="H34">
        <v>5.6</v>
      </c>
      <c r="I34">
        <v>26.22</v>
      </c>
    </row>
    <row r="35" spans="1:9" x14ac:dyDescent="0.25">
      <c r="A35" t="str">
        <f t="shared" si="0"/>
        <v>Pizza Mediana</v>
      </c>
      <c r="B35" t="s">
        <v>108</v>
      </c>
      <c r="C35" t="s">
        <v>116</v>
      </c>
      <c r="D35">
        <v>2</v>
      </c>
      <c r="E35">
        <v>31.82</v>
      </c>
      <c r="F35">
        <v>3.18</v>
      </c>
      <c r="G35">
        <v>35</v>
      </c>
      <c r="H35">
        <v>7</v>
      </c>
      <c r="I35">
        <v>24.82</v>
      </c>
    </row>
    <row r="36" spans="1:9" x14ac:dyDescent="0.25">
      <c r="A36" t="str">
        <f t="shared" si="0"/>
        <v>Pizza Mediana</v>
      </c>
      <c r="B36" t="s">
        <v>108</v>
      </c>
      <c r="C36" t="s">
        <v>117</v>
      </c>
      <c r="D36">
        <v>7</v>
      </c>
      <c r="E36">
        <v>111.36</v>
      </c>
      <c r="F36">
        <v>11.14</v>
      </c>
      <c r="G36">
        <v>122.5</v>
      </c>
      <c r="H36">
        <v>24.5</v>
      </c>
      <c r="I36">
        <v>86.86</v>
      </c>
    </row>
    <row r="37" spans="1:9" x14ac:dyDescent="0.25">
      <c r="A37" t="str">
        <f t="shared" si="0"/>
        <v>Pizza Mediana</v>
      </c>
      <c r="B37" t="s">
        <v>108</v>
      </c>
      <c r="C37" t="s">
        <v>118</v>
      </c>
      <c r="D37">
        <v>15</v>
      </c>
      <c r="E37">
        <v>238.64</v>
      </c>
      <c r="F37">
        <v>23.86</v>
      </c>
      <c r="G37">
        <v>262.5</v>
      </c>
      <c r="H37">
        <v>52.5</v>
      </c>
      <c r="I37">
        <v>186.14</v>
      </c>
    </row>
    <row r="38" spans="1:9" x14ac:dyDescent="0.25">
      <c r="A38" t="str">
        <f t="shared" si="0"/>
        <v>Pizza Mediana</v>
      </c>
      <c r="B38" t="s">
        <v>108</v>
      </c>
      <c r="C38" t="s">
        <v>119</v>
      </c>
      <c r="D38">
        <v>3</v>
      </c>
      <c r="E38">
        <v>47.73</v>
      </c>
      <c r="F38">
        <v>4.7699999999999996</v>
      </c>
      <c r="G38">
        <v>52.5</v>
      </c>
      <c r="H38">
        <v>10.5</v>
      </c>
      <c r="I38">
        <v>37.229999999999997</v>
      </c>
    </row>
    <row r="39" spans="1:9" x14ac:dyDescent="0.25">
      <c r="A39" t="str">
        <f t="shared" si="0"/>
        <v>Pizza Mediana</v>
      </c>
      <c r="B39" t="s">
        <v>108</v>
      </c>
      <c r="C39" t="s">
        <v>120</v>
      </c>
      <c r="D39">
        <v>10</v>
      </c>
      <c r="E39">
        <v>159.09</v>
      </c>
      <c r="F39">
        <v>15.91</v>
      </c>
      <c r="G39">
        <v>175</v>
      </c>
      <c r="H39">
        <v>35</v>
      </c>
      <c r="I39">
        <v>124.09</v>
      </c>
    </row>
    <row r="40" spans="1:9" x14ac:dyDescent="0.25">
      <c r="A40" t="str">
        <f t="shared" si="0"/>
        <v>Pizza Mediana</v>
      </c>
      <c r="B40" t="s">
        <v>108</v>
      </c>
      <c r="C40" t="s">
        <v>121</v>
      </c>
      <c r="D40">
        <v>1</v>
      </c>
      <c r="E40">
        <v>10.45</v>
      </c>
      <c r="F40">
        <v>1.05</v>
      </c>
      <c r="G40">
        <v>11.5</v>
      </c>
      <c r="H40">
        <v>2.5</v>
      </c>
      <c r="I40">
        <v>7.9499999999999993</v>
      </c>
    </row>
    <row r="41" spans="1:9" x14ac:dyDescent="0.25">
      <c r="A41" t="str">
        <f t="shared" ref="A41:A82" si="1">LEFT("Pizza",5)</f>
        <v>Pizza</v>
      </c>
      <c r="B41" t="s">
        <v>123</v>
      </c>
      <c r="C41" t="s">
        <v>107</v>
      </c>
      <c r="D41">
        <v>4</v>
      </c>
      <c r="E41">
        <v>5.45</v>
      </c>
      <c r="F41">
        <v>0.55000000000000004</v>
      </c>
      <c r="G41">
        <v>6</v>
      </c>
      <c r="H41">
        <v>4</v>
      </c>
      <c r="I41">
        <v>1.4500000000000002</v>
      </c>
    </row>
    <row r="42" spans="1:9" x14ac:dyDescent="0.25">
      <c r="A42" t="str">
        <f t="shared" si="1"/>
        <v>Pizza</v>
      </c>
      <c r="B42" t="s">
        <v>124</v>
      </c>
      <c r="C42" t="s">
        <v>124</v>
      </c>
      <c r="D42">
        <v>8</v>
      </c>
      <c r="E42">
        <v>72.73</v>
      </c>
      <c r="F42">
        <v>7.27</v>
      </c>
      <c r="G42">
        <v>80</v>
      </c>
      <c r="H42">
        <v>20</v>
      </c>
      <c r="I42">
        <v>52.730000000000004</v>
      </c>
    </row>
    <row r="43" spans="1:9" x14ac:dyDescent="0.25">
      <c r="A43" t="str">
        <f t="shared" si="1"/>
        <v>Pizza</v>
      </c>
      <c r="B43" t="s">
        <v>125</v>
      </c>
      <c r="C43" t="s">
        <v>126</v>
      </c>
      <c r="D43">
        <v>9</v>
      </c>
      <c r="E43">
        <v>49.09</v>
      </c>
      <c r="F43">
        <v>4.91</v>
      </c>
      <c r="G43">
        <v>54</v>
      </c>
      <c r="H43">
        <v>0</v>
      </c>
      <c r="I43">
        <v>49.09</v>
      </c>
    </row>
    <row r="44" spans="1:9" x14ac:dyDescent="0.25">
      <c r="A44" t="str">
        <f t="shared" si="1"/>
        <v>Pizza</v>
      </c>
      <c r="B44" t="s">
        <v>125</v>
      </c>
      <c r="C44" t="s">
        <v>127</v>
      </c>
      <c r="D44">
        <v>7</v>
      </c>
      <c r="E44">
        <v>15.91</v>
      </c>
      <c r="F44">
        <v>1.59</v>
      </c>
      <c r="G44">
        <v>17.5</v>
      </c>
      <c r="H44">
        <v>8.75</v>
      </c>
      <c r="I44">
        <v>7.16</v>
      </c>
    </row>
    <row r="45" spans="1:9" x14ac:dyDescent="0.25">
      <c r="A45" t="str">
        <f t="shared" si="1"/>
        <v>Pizza</v>
      </c>
      <c r="B45" t="s">
        <v>128</v>
      </c>
      <c r="C45" t="s">
        <v>129</v>
      </c>
      <c r="D45">
        <v>8</v>
      </c>
      <c r="E45">
        <v>29.09</v>
      </c>
      <c r="F45">
        <v>2.91</v>
      </c>
      <c r="G45">
        <v>32</v>
      </c>
      <c r="H45">
        <v>0</v>
      </c>
      <c r="I45">
        <v>29.09</v>
      </c>
    </row>
    <row r="46" spans="1:9" x14ac:dyDescent="0.25">
      <c r="A46" t="str">
        <f t="shared" si="1"/>
        <v>Pizza</v>
      </c>
      <c r="B46" t="s">
        <v>128</v>
      </c>
      <c r="C46" t="s">
        <v>130</v>
      </c>
      <c r="D46">
        <v>3</v>
      </c>
      <c r="E46">
        <v>8.18</v>
      </c>
      <c r="F46">
        <v>0.82</v>
      </c>
      <c r="G46">
        <v>9</v>
      </c>
      <c r="H46">
        <v>4.2</v>
      </c>
      <c r="I46">
        <v>3.9799999999999995</v>
      </c>
    </row>
    <row r="47" spans="1:9" x14ac:dyDescent="0.25">
      <c r="A47" t="str">
        <f t="shared" si="1"/>
        <v>Pizza</v>
      </c>
      <c r="B47" t="s">
        <v>128</v>
      </c>
      <c r="C47" t="s">
        <v>131</v>
      </c>
      <c r="D47">
        <v>11</v>
      </c>
      <c r="E47">
        <v>34.549999999999997</v>
      </c>
      <c r="F47">
        <v>3.45</v>
      </c>
      <c r="G47">
        <v>38</v>
      </c>
      <c r="H47">
        <v>16.5</v>
      </c>
      <c r="I47">
        <v>18.049999999999997</v>
      </c>
    </row>
    <row r="48" spans="1:9" x14ac:dyDescent="0.25">
      <c r="A48" t="str">
        <f t="shared" si="1"/>
        <v>Pizza</v>
      </c>
      <c r="B48" t="s">
        <v>128</v>
      </c>
      <c r="C48" t="s">
        <v>132</v>
      </c>
      <c r="D48">
        <v>9</v>
      </c>
      <c r="E48">
        <v>24.55</v>
      </c>
      <c r="F48">
        <v>2.4500000000000002</v>
      </c>
      <c r="G48">
        <v>27</v>
      </c>
      <c r="H48">
        <v>16.2</v>
      </c>
      <c r="I48">
        <v>8.3500000000000014</v>
      </c>
    </row>
    <row r="49" spans="1:9" x14ac:dyDescent="0.25">
      <c r="A49" t="str">
        <f t="shared" si="1"/>
        <v>Pizza</v>
      </c>
      <c r="B49" t="s">
        <v>128</v>
      </c>
      <c r="C49" t="s">
        <v>133</v>
      </c>
      <c r="D49">
        <v>1</v>
      </c>
      <c r="E49">
        <v>5.45</v>
      </c>
      <c r="F49">
        <v>0.55000000000000004</v>
      </c>
      <c r="G49">
        <v>6</v>
      </c>
      <c r="H49">
        <v>1.5</v>
      </c>
      <c r="I49">
        <v>3.95</v>
      </c>
    </row>
    <row r="50" spans="1:9" x14ac:dyDescent="0.25">
      <c r="A50" t="str">
        <f t="shared" si="1"/>
        <v>Pizza</v>
      </c>
      <c r="B50" t="s">
        <v>134</v>
      </c>
      <c r="C50" t="s">
        <v>135</v>
      </c>
      <c r="D50">
        <v>1</v>
      </c>
      <c r="E50">
        <v>1.44</v>
      </c>
      <c r="F50">
        <v>0.06</v>
      </c>
      <c r="G50">
        <v>1.5</v>
      </c>
      <c r="H50">
        <v>0.95</v>
      </c>
      <c r="I50">
        <v>0.49</v>
      </c>
    </row>
    <row r="51" spans="1:9" x14ac:dyDescent="0.25">
      <c r="A51" t="str">
        <f t="shared" si="1"/>
        <v>Pizza</v>
      </c>
      <c r="B51" t="s">
        <v>134</v>
      </c>
      <c r="C51" t="s">
        <v>136</v>
      </c>
      <c r="D51">
        <v>6</v>
      </c>
      <c r="E51">
        <v>8.65</v>
      </c>
      <c r="F51">
        <v>0.35</v>
      </c>
      <c r="G51">
        <v>9</v>
      </c>
      <c r="H51">
        <v>4.68</v>
      </c>
      <c r="I51">
        <v>3.9700000000000006</v>
      </c>
    </row>
    <row r="52" spans="1:9" x14ac:dyDescent="0.25">
      <c r="A52" t="str">
        <f t="shared" si="1"/>
        <v>Pizza</v>
      </c>
      <c r="B52" t="s">
        <v>137</v>
      </c>
      <c r="C52" t="s">
        <v>138</v>
      </c>
      <c r="D52">
        <v>12</v>
      </c>
      <c r="E52">
        <v>18.27</v>
      </c>
      <c r="F52">
        <v>1.83</v>
      </c>
      <c r="G52">
        <v>20.100000000000001</v>
      </c>
      <c r="H52">
        <v>7.68</v>
      </c>
      <c r="I52">
        <v>10.59</v>
      </c>
    </row>
    <row r="53" spans="1:9" x14ac:dyDescent="0.25">
      <c r="A53" t="str">
        <f t="shared" si="1"/>
        <v>Pizza</v>
      </c>
      <c r="B53" t="s">
        <v>139</v>
      </c>
      <c r="C53" t="s">
        <v>140</v>
      </c>
      <c r="D53">
        <v>9</v>
      </c>
      <c r="E53">
        <v>18.82</v>
      </c>
      <c r="F53">
        <v>1.88</v>
      </c>
      <c r="G53">
        <v>20.7</v>
      </c>
      <c r="H53">
        <v>6.93</v>
      </c>
      <c r="I53">
        <v>11.89</v>
      </c>
    </row>
    <row r="54" spans="1:9" x14ac:dyDescent="0.25">
      <c r="A54" t="str">
        <f t="shared" si="1"/>
        <v>Pizza</v>
      </c>
      <c r="B54" t="s">
        <v>139</v>
      </c>
      <c r="C54" t="s">
        <v>141</v>
      </c>
      <c r="D54">
        <v>10</v>
      </c>
      <c r="E54">
        <v>16.82</v>
      </c>
      <c r="F54">
        <v>1.68</v>
      </c>
      <c r="G54">
        <v>18.5</v>
      </c>
      <c r="H54">
        <v>7.7</v>
      </c>
      <c r="I54">
        <v>9.120000000000001</v>
      </c>
    </row>
    <row r="55" spans="1:9" x14ac:dyDescent="0.25">
      <c r="A55" t="str">
        <f t="shared" si="1"/>
        <v>Pizza</v>
      </c>
      <c r="B55" t="s">
        <v>139</v>
      </c>
      <c r="C55" t="s">
        <v>142</v>
      </c>
      <c r="D55">
        <v>16</v>
      </c>
      <c r="E55">
        <v>26.82</v>
      </c>
      <c r="F55">
        <v>2.68</v>
      </c>
      <c r="G55">
        <v>29.5</v>
      </c>
      <c r="H55">
        <v>12.32</v>
      </c>
      <c r="I55">
        <v>14.5</v>
      </c>
    </row>
    <row r="56" spans="1:9" x14ac:dyDescent="0.25">
      <c r="A56" t="str">
        <f t="shared" si="1"/>
        <v>Pizza</v>
      </c>
      <c r="B56" t="s">
        <v>139</v>
      </c>
      <c r="C56" t="s">
        <v>143</v>
      </c>
      <c r="D56">
        <v>1</v>
      </c>
      <c r="E56">
        <v>2.09</v>
      </c>
      <c r="F56">
        <v>0.21</v>
      </c>
      <c r="G56">
        <v>2.2999999999999998</v>
      </c>
      <c r="H56">
        <v>0.62</v>
      </c>
      <c r="I56">
        <v>1.4699999999999998</v>
      </c>
    </row>
    <row r="57" spans="1:9" x14ac:dyDescent="0.25">
      <c r="A57" t="str">
        <f t="shared" si="1"/>
        <v>Pizza</v>
      </c>
      <c r="B57" t="s">
        <v>139</v>
      </c>
      <c r="C57" t="s">
        <v>144</v>
      </c>
      <c r="D57">
        <v>7</v>
      </c>
      <c r="E57">
        <v>12.73</v>
      </c>
      <c r="F57">
        <v>1.27</v>
      </c>
      <c r="G57">
        <v>14</v>
      </c>
      <c r="H57">
        <v>3.29</v>
      </c>
      <c r="I57">
        <v>9.4400000000000013</v>
      </c>
    </row>
    <row r="58" spans="1:9" x14ac:dyDescent="0.25">
      <c r="A58" t="str">
        <f t="shared" si="1"/>
        <v>Pizza</v>
      </c>
      <c r="B58" t="s">
        <v>139</v>
      </c>
      <c r="C58" t="s">
        <v>145</v>
      </c>
      <c r="D58">
        <v>4</v>
      </c>
      <c r="E58">
        <v>7.27</v>
      </c>
      <c r="F58">
        <v>0.73</v>
      </c>
      <c r="G58">
        <v>8</v>
      </c>
      <c r="H58">
        <v>1.88</v>
      </c>
      <c r="I58">
        <v>5.39</v>
      </c>
    </row>
    <row r="59" spans="1:9" x14ac:dyDescent="0.25">
      <c r="A59" t="str">
        <f t="shared" si="1"/>
        <v>Pizza</v>
      </c>
      <c r="B59" t="s">
        <v>146</v>
      </c>
      <c r="C59" t="s">
        <v>147</v>
      </c>
      <c r="D59">
        <v>1</v>
      </c>
      <c r="E59">
        <v>1</v>
      </c>
      <c r="F59">
        <v>0.1</v>
      </c>
      <c r="G59">
        <v>1.1000000000000001</v>
      </c>
      <c r="H59">
        <v>0.41</v>
      </c>
      <c r="I59">
        <v>0.59000000000000008</v>
      </c>
    </row>
    <row r="60" spans="1:9" x14ac:dyDescent="0.25">
      <c r="A60" t="str">
        <f t="shared" si="1"/>
        <v>Pizza</v>
      </c>
      <c r="B60" t="s">
        <v>146</v>
      </c>
      <c r="C60" t="s">
        <v>148</v>
      </c>
      <c r="D60">
        <v>40</v>
      </c>
      <c r="E60">
        <v>29.09</v>
      </c>
      <c r="F60">
        <v>2.91</v>
      </c>
      <c r="G60">
        <v>32</v>
      </c>
      <c r="H60">
        <v>12.41</v>
      </c>
      <c r="I60">
        <v>16.68</v>
      </c>
    </row>
    <row r="61" spans="1:9" x14ac:dyDescent="0.25">
      <c r="A61" t="str">
        <f t="shared" si="1"/>
        <v>Pizza</v>
      </c>
      <c r="B61" t="s">
        <v>149</v>
      </c>
      <c r="C61" t="s">
        <v>150</v>
      </c>
      <c r="D61">
        <v>4</v>
      </c>
      <c r="E61">
        <v>29.09</v>
      </c>
      <c r="F61">
        <v>2.91</v>
      </c>
      <c r="G61">
        <v>32</v>
      </c>
      <c r="H61">
        <v>0</v>
      </c>
      <c r="I61">
        <v>29.09</v>
      </c>
    </row>
    <row r="62" spans="1:9" x14ac:dyDescent="0.25">
      <c r="A62" t="str">
        <f t="shared" si="1"/>
        <v>Pizza</v>
      </c>
      <c r="B62" t="s">
        <v>149</v>
      </c>
      <c r="C62" t="s">
        <v>151</v>
      </c>
      <c r="D62">
        <v>16</v>
      </c>
      <c r="E62">
        <v>116.36</v>
      </c>
      <c r="F62">
        <v>11.64</v>
      </c>
      <c r="G62">
        <v>128</v>
      </c>
      <c r="H62">
        <v>48</v>
      </c>
      <c r="I62">
        <v>68.36</v>
      </c>
    </row>
    <row r="63" spans="1:9" x14ac:dyDescent="0.25">
      <c r="A63" t="str">
        <f t="shared" si="1"/>
        <v>Pizza</v>
      </c>
      <c r="B63" t="s">
        <v>149</v>
      </c>
      <c r="C63" t="s">
        <v>152</v>
      </c>
      <c r="D63">
        <v>10</v>
      </c>
      <c r="E63">
        <v>45.45</v>
      </c>
      <c r="F63">
        <v>4.55</v>
      </c>
      <c r="G63">
        <v>50</v>
      </c>
      <c r="H63">
        <v>30</v>
      </c>
      <c r="I63">
        <v>15.450000000000003</v>
      </c>
    </row>
    <row r="64" spans="1:9" x14ac:dyDescent="0.25">
      <c r="A64" t="str">
        <f t="shared" si="1"/>
        <v>Pizza</v>
      </c>
      <c r="B64" t="s">
        <v>149</v>
      </c>
      <c r="C64" t="s">
        <v>153</v>
      </c>
      <c r="D64">
        <v>4</v>
      </c>
      <c r="E64">
        <v>36.36</v>
      </c>
      <c r="F64">
        <v>3.64</v>
      </c>
      <c r="G64">
        <v>40</v>
      </c>
      <c r="H64">
        <v>12</v>
      </c>
      <c r="I64">
        <v>24.36</v>
      </c>
    </row>
    <row r="65" spans="1:9" x14ac:dyDescent="0.25">
      <c r="A65" t="str">
        <f t="shared" si="1"/>
        <v>Pizza</v>
      </c>
      <c r="B65" t="s">
        <v>149</v>
      </c>
      <c r="C65" t="s">
        <v>154</v>
      </c>
      <c r="D65">
        <v>17</v>
      </c>
      <c r="E65">
        <v>108.18</v>
      </c>
      <c r="F65">
        <v>10.82</v>
      </c>
      <c r="G65">
        <v>119</v>
      </c>
      <c r="H65">
        <v>51</v>
      </c>
      <c r="I65">
        <v>57.180000000000007</v>
      </c>
    </row>
    <row r="66" spans="1:9" x14ac:dyDescent="0.25">
      <c r="A66" t="str">
        <f t="shared" si="1"/>
        <v>Pizza</v>
      </c>
      <c r="B66" t="s">
        <v>108</v>
      </c>
      <c r="C66" t="s">
        <v>122</v>
      </c>
      <c r="D66">
        <v>15</v>
      </c>
      <c r="E66">
        <v>150</v>
      </c>
      <c r="F66">
        <v>15</v>
      </c>
      <c r="G66">
        <v>165</v>
      </c>
      <c r="H66">
        <v>37.5</v>
      </c>
      <c r="I66">
        <v>112.5</v>
      </c>
    </row>
    <row r="67" spans="1:9" x14ac:dyDescent="0.25">
      <c r="A67" t="str">
        <f t="shared" si="1"/>
        <v>Pizza</v>
      </c>
      <c r="B67" t="s">
        <v>155</v>
      </c>
      <c r="C67" t="s">
        <v>156</v>
      </c>
      <c r="D67">
        <v>2</v>
      </c>
      <c r="E67">
        <v>4.55</v>
      </c>
      <c r="F67">
        <v>0.45</v>
      </c>
      <c r="G67">
        <v>5</v>
      </c>
      <c r="H67">
        <v>2.04</v>
      </c>
      <c r="I67">
        <v>2.5099999999999998</v>
      </c>
    </row>
    <row r="68" spans="1:9" x14ac:dyDescent="0.25">
      <c r="A68" t="str">
        <f t="shared" si="1"/>
        <v>Pizza</v>
      </c>
      <c r="B68" t="s">
        <v>155</v>
      </c>
      <c r="C68" t="s">
        <v>157</v>
      </c>
      <c r="D68">
        <v>2</v>
      </c>
      <c r="E68">
        <v>4.55</v>
      </c>
      <c r="F68">
        <v>0.45</v>
      </c>
      <c r="G68">
        <v>5</v>
      </c>
      <c r="H68">
        <v>2.04</v>
      </c>
      <c r="I68">
        <v>2.5099999999999998</v>
      </c>
    </row>
    <row r="69" spans="1:9" x14ac:dyDescent="0.25">
      <c r="A69" t="str">
        <f t="shared" si="1"/>
        <v>Pizza</v>
      </c>
      <c r="B69" t="s">
        <v>159</v>
      </c>
      <c r="C69" t="s">
        <v>160</v>
      </c>
      <c r="D69">
        <v>17</v>
      </c>
      <c r="E69">
        <v>21.64</v>
      </c>
      <c r="F69">
        <v>2.16</v>
      </c>
      <c r="G69">
        <v>23.8</v>
      </c>
      <c r="H69">
        <v>11.05</v>
      </c>
      <c r="I69">
        <v>10.59</v>
      </c>
    </row>
    <row r="70" spans="1:9" x14ac:dyDescent="0.25">
      <c r="A70" t="str">
        <f t="shared" si="1"/>
        <v>Pizza</v>
      </c>
      <c r="B70" t="s">
        <v>159</v>
      </c>
      <c r="C70" t="s">
        <v>161</v>
      </c>
      <c r="D70">
        <v>12</v>
      </c>
      <c r="E70">
        <v>14.18</v>
      </c>
      <c r="F70">
        <v>1.42</v>
      </c>
      <c r="G70">
        <v>15.6</v>
      </c>
      <c r="H70">
        <v>7.2</v>
      </c>
      <c r="I70">
        <v>6.9799999999999995</v>
      </c>
    </row>
    <row r="71" spans="1:9" x14ac:dyDescent="0.25">
      <c r="A71" t="str">
        <f t="shared" si="1"/>
        <v>Pizza</v>
      </c>
      <c r="B71" t="s">
        <v>159</v>
      </c>
      <c r="C71" t="s">
        <v>162</v>
      </c>
      <c r="D71">
        <v>6</v>
      </c>
      <c r="E71">
        <v>7.09</v>
      </c>
      <c r="F71">
        <v>0.71</v>
      </c>
      <c r="G71">
        <v>7.8</v>
      </c>
      <c r="H71">
        <v>3.6</v>
      </c>
      <c r="I71">
        <v>3.4899999999999998</v>
      </c>
    </row>
    <row r="72" spans="1:9" x14ac:dyDescent="0.25">
      <c r="A72" t="str">
        <f t="shared" si="1"/>
        <v>Pizza</v>
      </c>
      <c r="B72" t="s">
        <v>163</v>
      </c>
      <c r="C72" t="s">
        <v>164</v>
      </c>
      <c r="D72">
        <v>1</v>
      </c>
      <c r="E72">
        <v>2.48</v>
      </c>
      <c r="F72">
        <v>0.52</v>
      </c>
      <c r="G72">
        <v>3</v>
      </c>
      <c r="H72">
        <v>1.2</v>
      </c>
      <c r="I72">
        <v>1.28</v>
      </c>
    </row>
    <row r="73" spans="1:9" x14ac:dyDescent="0.25">
      <c r="A73" t="str">
        <f t="shared" si="1"/>
        <v>Pizza</v>
      </c>
      <c r="B73" t="s">
        <v>163</v>
      </c>
      <c r="C73" t="s">
        <v>165</v>
      </c>
      <c r="D73">
        <v>3</v>
      </c>
      <c r="E73">
        <v>7.44</v>
      </c>
      <c r="F73">
        <v>1.56</v>
      </c>
      <c r="G73">
        <v>9</v>
      </c>
      <c r="H73">
        <v>2.91</v>
      </c>
      <c r="I73">
        <v>4.53</v>
      </c>
    </row>
    <row r="74" spans="1:9" x14ac:dyDescent="0.25">
      <c r="A74" t="str">
        <f t="shared" si="1"/>
        <v>Pizza</v>
      </c>
      <c r="B74" t="s">
        <v>163</v>
      </c>
      <c r="C74" t="s">
        <v>166</v>
      </c>
      <c r="D74">
        <v>21</v>
      </c>
      <c r="E74">
        <v>52.07</v>
      </c>
      <c r="F74">
        <v>10.93</v>
      </c>
      <c r="G74">
        <v>63</v>
      </c>
      <c r="H74">
        <v>25.95</v>
      </c>
      <c r="I74">
        <v>26.12</v>
      </c>
    </row>
    <row r="75" spans="1:9" x14ac:dyDescent="0.25">
      <c r="A75" t="str">
        <f t="shared" si="1"/>
        <v>Pizza</v>
      </c>
      <c r="B75" t="s">
        <v>163</v>
      </c>
      <c r="C75" t="s">
        <v>167</v>
      </c>
      <c r="D75">
        <v>1</v>
      </c>
      <c r="E75">
        <v>2.48</v>
      </c>
      <c r="F75">
        <v>0.52</v>
      </c>
      <c r="G75">
        <v>3</v>
      </c>
      <c r="H75">
        <v>1.1599999999999999</v>
      </c>
      <c r="I75">
        <v>1.32</v>
      </c>
    </row>
    <row r="76" spans="1:9" x14ac:dyDescent="0.25">
      <c r="A76" t="str">
        <f t="shared" si="1"/>
        <v>Pizza</v>
      </c>
      <c r="B76" t="s">
        <v>163</v>
      </c>
      <c r="C76" t="s">
        <v>168</v>
      </c>
      <c r="D76">
        <v>16</v>
      </c>
      <c r="E76">
        <v>39.71</v>
      </c>
      <c r="F76">
        <v>8.34</v>
      </c>
      <c r="G76">
        <v>48.05</v>
      </c>
      <c r="H76">
        <v>16.8</v>
      </c>
      <c r="I76">
        <v>22.91</v>
      </c>
    </row>
    <row r="77" spans="1:9" x14ac:dyDescent="0.25">
      <c r="A77" t="str">
        <f t="shared" si="1"/>
        <v>Pizza</v>
      </c>
      <c r="B77" t="s">
        <v>163</v>
      </c>
      <c r="C77" t="s">
        <v>169</v>
      </c>
      <c r="D77">
        <v>10</v>
      </c>
      <c r="E77">
        <v>24.79</v>
      </c>
      <c r="F77">
        <v>5.21</v>
      </c>
      <c r="G77">
        <v>30</v>
      </c>
      <c r="H77">
        <v>11.6</v>
      </c>
      <c r="I77">
        <v>13.19</v>
      </c>
    </row>
    <row r="78" spans="1:9" x14ac:dyDescent="0.25">
      <c r="A78" t="str">
        <f t="shared" si="1"/>
        <v>Pizza</v>
      </c>
      <c r="B78" t="s">
        <v>139</v>
      </c>
      <c r="C78" t="s">
        <v>171</v>
      </c>
      <c r="D78">
        <v>4</v>
      </c>
      <c r="E78">
        <v>3.18</v>
      </c>
      <c r="F78">
        <v>0.32</v>
      </c>
      <c r="G78">
        <v>3.5</v>
      </c>
      <c r="H78">
        <v>0.4</v>
      </c>
      <c r="I78">
        <v>2.7800000000000002</v>
      </c>
    </row>
    <row r="79" spans="1:9" x14ac:dyDescent="0.25">
      <c r="A79" t="str">
        <f t="shared" si="1"/>
        <v>Pizza</v>
      </c>
      <c r="B79" t="s">
        <v>170</v>
      </c>
      <c r="C79" t="s">
        <v>172</v>
      </c>
      <c r="D79">
        <v>5</v>
      </c>
      <c r="E79">
        <v>8.18</v>
      </c>
      <c r="F79">
        <v>0.82</v>
      </c>
      <c r="G79">
        <v>9</v>
      </c>
      <c r="H79">
        <v>4</v>
      </c>
      <c r="I79">
        <v>4.18</v>
      </c>
    </row>
    <row r="80" spans="1:9" x14ac:dyDescent="0.25">
      <c r="A80" t="str">
        <f t="shared" si="1"/>
        <v>Pizza</v>
      </c>
      <c r="B80" t="s">
        <v>170</v>
      </c>
      <c r="C80" t="s">
        <v>173</v>
      </c>
      <c r="D80">
        <v>2</v>
      </c>
      <c r="E80">
        <v>2.36</v>
      </c>
      <c r="F80">
        <v>0.24</v>
      </c>
      <c r="G80">
        <v>2.6</v>
      </c>
      <c r="H80">
        <v>1.2</v>
      </c>
      <c r="I80">
        <v>1.1599999999999999</v>
      </c>
    </row>
    <row r="81" spans="1:9" x14ac:dyDescent="0.25">
      <c r="A81" t="str">
        <f t="shared" si="1"/>
        <v>Pizza</v>
      </c>
      <c r="B81" t="s">
        <v>170</v>
      </c>
      <c r="C81" t="s">
        <v>174</v>
      </c>
      <c r="D81">
        <v>6</v>
      </c>
      <c r="E81">
        <v>8.73</v>
      </c>
      <c r="F81">
        <v>0.87</v>
      </c>
      <c r="G81">
        <v>9.6</v>
      </c>
      <c r="H81">
        <v>3.6</v>
      </c>
      <c r="I81">
        <v>5.1300000000000008</v>
      </c>
    </row>
    <row r="82" spans="1:9" x14ac:dyDescent="0.25">
      <c r="A82" t="str">
        <f t="shared" si="1"/>
        <v>Pizza</v>
      </c>
      <c r="B82" t="s">
        <v>170</v>
      </c>
      <c r="C82" t="s">
        <v>175</v>
      </c>
      <c r="D82">
        <v>8</v>
      </c>
      <c r="E82">
        <v>10.91</v>
      </c>
      <c r="F82">
        <v>1.0900000000000001</v>
      </c>
      <c r="G82">
        <v>12</v>
      </c>
      <c r="H82">
        <v>5.6</v>
      </c>
      <c r="I82">
        <v>5.3100000000000005</v>
      </c>
    </row>
    <row r="83" spans="1:9" x14ac:dyDescent="0.25">
      <c r="A83" t="str">
        <f t="shared" ref="A83:A108" si="2">B83</f>
        <v>Vinos</v>
      </c>
      <c r="B83" t="s">
        <v>170</v>
      </c>
      <c r="C83" t="s">
        <v>176</v>
      </c>
      <c r="D83">
        <v>9</v>
      </c>
      <c r="E83">
        <v>13.09</v>
      </c>
      <c r="F83">
        <v>1.31</v>
      </c>
      <c r="G83">
        <v>14.4</v>
      </c>
      <c r="H83">
        <v>6.3</v>
      </c>
      <c r="I83">
        <v>6.79</v>
      </c>
    </row>
    <row r="84" spans="1:9" x14ac:dyDescent="0.25">
      <c r="A84" t="str">
        <f t="shared" si="2"/>
        <v>Vinos</v>
      </c>
      <c r="B84" t="s">
        <v>170</v>
      </c>
      <c r="C84" t="s">
        <v>177</v>
      </c>
      <c r="D84">
        <v>2</v>
      </c>
      <c r="E84">
        <v>2.73</v>
      </c>
      <c r="F84">
        <v>0.27</v>
      </c>
      <c r="G84">
        <v>3</v>
      </c>
      <c r="H84">
        <v>1.8</v>
      </c>
      <c r="I84">
        <v>0.92999999999999994</v>
      </c>
    </row>
    <row r="85" spans="1:9" x14ac:dyDescent="0.25">
      <c r="A85" t="str">
        <f t="shared" si="2"/>
        <v>Por Botellas</v>
      </c>
      <c r="B85" t="s">
        <v>178</v>
      </c>
      <c r="C85" t="s">
        <v>179</v>
      </c>
      <c r="D85">
        <v>1</v>
      </c>
      <c r="E85">
        <v>6.94</v>
      </c>
      <c r="F85">
        <v>1.46</v>
      </c>
      <c r="G85">
        <v>8.4</v>
      </c>
      <c r="H85">
        <v>3.99</v>
      </c>
      <c r="I85">
        <v>2.95</v>
      </c>
    </row>
    <row r="86" spans="1:9" x14ac:dyDescent="0.25">
      <c r="A86" t="str">
        <f t="shared" si="2"/>
        <v>Por Botellas</v>
      </c>
      <c r="B86" t="s">
        <v>178</v>
      </c>
      <c r="C86" t="s">
        <v>180</v>
      </c>
      <c r="D86">
        <v>3</v>
      </c>
      <c r="E86">
        <v>24.79</v>
      </c>
      <c r="F86">
        <v>5.21</v>
      </c>
      <c r="G86">
        <v>30</v>
      </c>
      <c r="H86">
        <v>15.6</v>
      </c>
      <c r="I86">
        <v>9.19</v>
      </c>
    </row>
    <row r="87" spans="1:9" x14ac:dyDescent="0.25">
      <c r="A87" t="str">
        <f t="shared" si="2"/>
        <v>Vinos</v>
      </c>
      <c r="B87" t="s">
        <v>170</v>
      </c>
      <c r="C87" t="s">
        <v>181</v>
      </c>
      <c r="D87">
        <v>1</v>
      </c>
      <c r="E87">
        <v>2.48</v>
      </c>
      <c r="F87">
        <v>0.52</v>
      </c>
      <c r="G87">
        <v>3</v>
      </c>
      <c r="H87">
        <v>0.8</v>
      </c>
      <c r="I87">
        <v>1.68</v>
      </c>
    </row>
    <row r="88" spans="1:9" x14ac:dyDescent="0.25">
      <c r="A88" t="str">
        <f t="shared" si="2"/>
        <v>Cerveza</v>
      </c>
      <c r="B88" t="s">
        <v>182</v>
      </c>
      <c r="C88" t="s">
        <v>183</v>
      </c>
      <c r="D88">
        <v>15</v>
      </c>
      <c r="E88">
        <v>17.73</v>
      </c>
      <c r="F88">
        <v>1.77</v>
      </c>
      <c r="G88">
        <v>19.5</v>
      </c>
      <c r="H88">
        <v>7.5</v>
      </c>
      <c r="I88">
        <v>10.23</v>
      </c>
    </row>
    <row r="89" spans="1:9" x14ac:dyDescent="0.25">
      <c r="A89" t="str">
        <f t="shared" si="2"/>
        <v>Cerveza</v>
      </c>
      <c r="B89" t="s">
        <v>182</v>
      </c>
      <c r="C89" t="s">
        <v>184</v>
      </c>
      <c r="D89">
        <v>70</v>
      </c>
      <c r="E89">
        <v>115.7</v>
      </c>
      <c r="F89">
        <v>24.3</v>
      </c>
      <c r="G89">
        <v>140</v>
      </c>
      <c r="H89">
        <v>56</v>
      </c>
      <c r="I89">
        <v>59.7</v>
      </c>
    </row>
    <row r="90" spans="1:9" x14ac:dyDescent="0.25">
      <c r="A90" t="str">
        <f t="shared" si="2"/>
        <v>Refrescos</v>
      </c>
      <c r="B90" t="s">
        <v>139</v>
      </c>
      <c r="C90" t="s">
        <v>185</v>
      </c>
      <c r="D90">
        <v>10</v>
      </c>
      <c r="E90">
        <v>22.73</v>
      </c>
      <c r="F90">
        <v>2.27</v>
      </c>
      <c r="G90">
        <v>25</v>
      </c>
      <c r="H90">
        <v>11.61</v>
      </c>
      <c r="I90">
        <v>11.120000000000001</v>
      </c>
    </row>
    <row r="91" spans="1:9" x14ac:dyDescent="0.25">
      <c r="A91" t="str">
        <f t="shared" si="2"/>
        <v>Refrescos</v>
      </c>
      <c r="B91" t="s">
        <v>139</v>
      </c>
      <c r="C91" t="s">
        <v>186</v>
      </c>
      <c r="D91">
        <v>6</v>
      </c>
      <c r="E91">
        <v>10.91</v>
      </c>
      <c r="F91">
        <v>1.0900000000000001</v>
      </c>
      <c r="G91">
        <v>12</v>
      </c>
      <c r="H91">
        <v>3.48</v>
      </c>
      <c r="I91">
        <v>7.43</v>
      </c>
    </row>
    <row r="92" spans="1:9" x14ac:dyDescent="0.25">
      <c r="A92" t="str">
        <f t="shared" si="2"/>
        <v>Refrescos</v>
      </c>
      <c r="B92" t="s">
        <v>139</v>
      </c>
      <c r="C92" t="s">
        <v>187</v>
      </c>
      <c r="D92">
        <v>5</v>
      </c>
      <c r="E92">
        <v>8.64</v>
      </c>
      <c r="F92">
        <v>0.86</v>
      </c>
      <c r="G92">
        <v>9.5</v>
      </c>
      <c r="H92">
        <v>2.9</v>
      </c>
      <c r="I92">
        <v>5.74</v>
      </c>
    </row>
    <row r="93" spans="1:9" x14ac:dyDescent="0.25">
      <c r="A93" t="str">
        <f t="shared" si="2"/>
        <v>Refrescos</v>
      </c>
      <c r="B93" t="s">
        <v>139</v>
      </c>
      <c r="C93" t="s">
        <v>171</v>
      </c>
      <c r="D93">
        <v>13</v>
      </c>
      <c r="E93">
        <v>11.36</v>
      </c>
      <c r="F93">
        <v>1.1399999999999999</v>
      </c>
      <c r="G93">
        <v>12.5</v>
      </c>
      <c r="H93">
        <v>1.3</v>
      </c>
      <c r="I93">
        <v>10.059999999999999</v>
      </c>
    </row>
    <row r="94" spans="1:9" x14ac:dyDescent="0.25">
      <c r="A94" t="str">
        <f t="shared" si="2"/>
        <v>Refrescos</v>
      </c>
      <c r="B94" t="s">
        <v>139</v>
      </c>
      <c r="C94" t="s">
        <v>185</v>
      </c>
      <c r="D94">
        <v>12</v>
      </c>
      <c r="E94">
        <v>27.27</v>
      </c>
      <c r="F94">
        <v>2.73</v>
      </c>
      <c r="G94">
        <v>30</v>
      </c>
      <c r="H94">
        <v>13.93</v>
      </c>
      <c r="I94">
        <v>13.34</v>
      </c>
    </row>
    <row r="95" spans="1:9" x14ac:dyDescent="0.25">
      <c r="A95" t="str">
        <f t="shared" si="2"/>
        <v>Refrescos</v>
      </c>
      <c r="B95" t="s">
        <v>139</v>
      </c>
      <c r="C95" t="s">
        <v>186</v>
      </c>
      <c r="D95">
        <v>7</v>
      </c>
      <c r="E95">
        <v>12.73</v>
      </c>
      <c r="F95">
        <v>1.27</v>
      </c>
      <c r="G95">
        <v>14</v>
      </c>
      <c r="H95">
        <v>4.0599999999999996</v>
      </c>
      <c r="I95">
        <v>8.6700000000000017</v>
      </c>
    </row>
    <row r="96" spans="1:9" x14ac:dyDescent="0.25">
      <c r="A96" t="str">
        <f t="shared" si="2"/>
        <v>Refrescos</v>
      </c>
      <c r="B96" t="s">
        <v>139</v>
      </c>
      <c r="C96" t="s">
        <v>187</v>
      </c>
      <c r="D96">
        <v>5</v>
      </c>
      <c r="E96">
        <v>8.64</v>
      </c>
      <c r="F96">
        <v>0.86</v>
      </c>
      <c r="G96">
        <v>9.5</v>
      </c>
      <c r="H96">
        <v>2.9</v>
      </c>
      <c r="I96">
        <v>5.74</v>
      </c>
    </row>
    <row r="97" spans="1:9" x14ac:dyDescent="0.25">
      <c r="A97" t="str">
        <f t="shared" si="2"/>
        <v>Te</v>
      </c>
      <c r="B97" t="s">
        <v>158</v>
      </c>
      <c r="C97" t="s">
        <v>158</v>
      </c>
      <c r="D97">
        <v>1</v>
      </c>
      <c r="E97">
        <v>1.45</v>
      </c>
      <c r="F97">
        <v>0.15</v>
      </c>
      <c r="G97">
        <v>1.6</v>
      </c>
      <c r="H97">
        <v>0.75</v>
      </c>
      <c r="I97">
        <v>0.7</v>
      </c>
    </row>
    <row r="98" spans="1:9" x14ac:dyDescent="0.25">
      <c r="A98" t="str">
        <f t="shared" si="2"/>
        <v>Tragos</v>
      </c>
      <c r="B98" t="s">
        <v>125</v>
      </c>
      <c r="C98" t="s">
        <v>126</v>
      </c>
      <c r="D98">
        <v>10</v>
      </c>
      <c r="E98">
        <v>54.55</v>
      </c>
      <c r="F98">
        <v>5.45</v>
      </c>
      <c r="G98">
        <v>60</v>
      </c>
      <c r="H98">
        <v>0</v>
      </c>
      <c r="I98">
        <v>54.55</v>
      </c>
    </row>
    <row r="99" spans="1:9" x14ac:dyDescent="0.25">
      <c r="A99" t="str">
        <f t="shared" si="2"/>
        <v>Tragos</v>
      </c>
      <c r="B99" t="s">
        <v>125</v>
      </c>
      <c r="C99" t="s">
        <v>127</v>
      </c>
      <c r="D99">
        <v>8</v>
      </c>
      <c r="E99">
        <v>18.64</v>
      </c>
      <c r="F99">
        <v>1.86</v>
      </c>
      <c r="G99">
        <v>20.5</v>
      </c>
      <c r="H99">
        <v>10</v>
      </c>
      <c r="I99">
        <v>8.64</v>
      </c>
    </row>
    <row r="100" spans="1:9" x14ac:dyDescent="0.25">
      <c r="A100" t="str">
        <f t="shared" si="2"/>
        <v>Vinos</v>
      </c>
      <c r="B100" t="s">
        <v>170</v>
      </c>
      <c r="C100" t="s">
        <v>172</v>
      </c>
      <c r="D100">
        <v>8</v>
      </c>
      <c r="E100">
        <v>13.09</v>
      </c>
      <c r="F100">
        <v>1.31</v>
      </c>
      <c r="G100">
        <v>14.4</v>
      </c>
      <c r="H100">
        <v>6.4</v>
      </c>
      <c r="I100">
        <v>6.6899999999999995</v>
      </c>
    </row>
    <row r="101" spans="1:9" x14ac:dyDescent="0.25">
      <c r="A101" t="str">
        <f t="shared" si="2"/>
        <v>Vinos</v>
      </c>
      <c r="B101" t="s">
        <v>170</v>
      </c>
      <c r="C101" t="s">
        <v>173</v>
      </c>
      <c r="D101">
        <v>2</v>
      </c>
      <c r="E101">
        <v>2.36</v>
      </c>
      <c r="F101">
        <v>0.24</v>
      </c>
      <c r="G101">
        <v>2.6</v>
      </c>
      <c r="H101">
        <v>1.2</v>
      </c>
      <c r="I101">
        <v>1.1599999999999999</v>
      </c>
    </row>
    <row r="102" spans="1:9" x14ac:dyDescent="0.25">
      <c r="A102" t="str">
        <f t="shared" si="2"/>
        <v>Vinos</v>
      </c>
      <c r="B102" t="s">
        <v>170</v>
      </c>
      <c r="C102" t="s">
        <v>179</v>
      </c>
      <c r="D102">
        <v>4</v>
      </c>
      <c r="E102">
        <v>4.7300000000000004</v>
      </c>
      <c r="F102">
        <v>0.47</v>
      </c>
      <c r="G102">
        <v>5.2</v>
      </c>
      <c r="H102">
        <v>2.4</v>
      </c>
      <c r="I102">
        <v>2.3300000000000005</v>
      </c>
    </row>
    <row r="103" spans="1:9" x14ac:dyDescent="0.25">
      <c r="A103" t="str">
        <f t="shared" si="2"/>
        <v>Vinos</v>
      </c>
      <c r="B103" t="s">
        <v>170</v>
      </c>
      <c r="C103" t="s">
        <v>174</v>
      </c>
      <c r="D103">
        <v>14</v>
      </c>
      <c r="E103">
        <v>20.36</v>
      </c>
      <c r="F103">
        <v>2.04</v>
      </c>
      <c r="G103">
        <v>22.4</v>
      </c>
      <c r="H103">
        <v>8.4</v>
      </c>
      <c r="I103">
        <v>11.959999999999999</v>
      </c>
    </row>
    <row r="104" spans="1:9" x14ac:dyDescent="0.25">
      <c r="A104" t="str">
        <f t="shared" si="2"/>
        <v>Vinos</v>
      </c>
      <c r="B104" t="s">
        <v>170</v>
      </c>
      <c r="C104" t="s">
        <v>175</v>
      </c>
      <c r="D104">
        <v>14</v>
      </c>
      <c r="E104">
        <v>19.09</v>
      </c>
      <c r="F104">
        <v>1.91</v>
      </c>
      <c r="G104">
        <v>21</v>
      </c>
      <c r="H104">
        <v>9.8000000000000007</v>
      </c>
      <c r="I104">
        <v>9.2899999999999991</v>
      </c>
    </row>
    <row r="105" spans="1:9" x14ac:dyDescent="0.25">
      <c r="A105" t="str">
        <f t="shared" si="2"/>
        <v>Vinos</v>
      </c>
      <c r="B105" t="s">
        <v>170</v>
      </c>
      <c r="C105" t="s">
        <v>176</v>
      </c>
      <c r="D105">
        <v>19</v>
      </c>
      <c r="E105">
        <v>27.64</v>
      </c>
      <c r="F105">
        <v>2.76</v>
      </c>
      <c r="G105">
        <v>30.4</v>
      </c>
      <c r="H105">
        <v>13.3</v>
      </c>
      <c r="I105">
        <v>14.34</v>
      </c>
    </row>
    <row r="106" spans="1:9" x14ac:dyDescent="0.25">
      <c r="A106" t="str">
        <f t="shared" si="2"/>
        <v>Vinos</v>
      </c>
      <c r="B106" t="s">
        <v>170</v>
      </c>
      <c r="C106" t="s">
        <v>177</v>
      </c>
      <c r="D106">
        <v>4</v>
      </c>
      <c r="E106">
        <v>5.45</v>
      </c>
      <c r="F106">
        <v>0.55000000000000004</v>
      </c>
      <c r="G106">
        <v>6</v>
      </c>
      <c r="H106">
        <v>3.6</v>
      </c>
      <c r="I106">
        <v>1.85</v>
      </c>
    </row>
    <row r="107" spans="1:9" x14ac:dyDescent="0.25">
      <c r="A107" t="str">
        <f t="shared" si="2"/>
        <v>Vinos</v>
      </c>
      <c r="B107" t="s">
        <v>170</v>
      </c>
      <c r="C107" t="s">
        <v>181</v>
      </c>
      <c r="D107">
        <v>4</v>
      </c>
      <c r="E107">
        <v>10.17</v>
      </c>
      <c r="F107">
        <v>1.83</v>
      </c>
      <c r="G107">
        <v>12</v>
      </c>
      <c r="H107">
        <v>3.2</v>
      </c>
      <c r="I107">
        <v>6.97</v>
      </c>
    </row>
    <row r="108" spans="1:9" x14ac:dyDescent="0.25">
      <c r="A108" t="str">
        <f t="shared" si="2"/>
        <v>Zumos</v>
      </c>
      <c r="B108" t="s">
        <v>155</v>
      </c>
      <c r="C108" t="s">
        <v>156</v>
      </c>
      <c r="D108">
        <v>3</v>
      </c>
      <c r="E108">
        <v>6.82</v>
      </c>
      <c r="F108">
        <v>0.68</v>
      </c>
      <c r="G108">
        <v>7.5</v>
      </c>
      <c r="H108">
        <v>3.06</v>
      </c>
      <c r="I108">
        <v>3.7600000000000002</v>
      </c>
    </row>
    <row r="109" spans="1:9" x14ac:dyDescent="0.25">
      <c r="B109" t="s">
        <v>155</v>
      </c>
      <c r="C109" t="s">
        <v>157</v>
      </c>
      <c r="D109">
        <v>3</v>
      </c>
      <c r="E109">
        <v>6.82</v>
      </c>
      <c r="F109">
        <v>0.68</v>
      </c>
      <c r="G109">
        <v>7.5</v>
      </c>
      <c r="H109">
        <v>3.06</v>
      </c>
      <c r="I109">
        <v>3.7600000000000002</v>
      </c>
    </row>
  </sheetData>
  <sheetProtection selectLockedCells="1" selectUnlockedCells="1"/>
  <sortState xmlns:xlrd2="http://schemas.microsoft.com/office/spreadsheetml/2017/richdata2" ref="A3:E108">
    <sortCondition ref="A3:A108"/>
  </sortState>
  <printOptions verticalCentered="1"/>
  <pageMargins left="0.70866141732283472" right="0.70866141732283472" top="0.74803149606299213" bottom="0.74803149606299213" header="0.31496062992125984" footer="0.31496062992125984"/>
  <pageSetup scale="10" orientation="landscape" verticalDpi="203" r:id="rId1"/>
  <rowBreaks count="1" manualBreakCount="1">
    <brk id="17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A1:B21"/>
  <sheetViews>
    <sheetView showGridLines="0" showRowColHeaders="0" workbookViewId="0">
      <selection activeCell="B2" sqref="B2"/>
    </sheetView>
  </sheetViews>
  <sheetFormatPr baseColWidth="10" defaultColWidth="11.44140625" defaultRowHeight="13.2" x14ac:dyDescent="0.25"/>
  <cols>
    <col min="1" max="1" width="17.109375" style="173" bestFit="1" customWidth="1"/>
    <col min="2" max="2" width="11.5546875" style="176" bestFit="1" customWidth="1"/>
    <col min="3" max="3" width="15.33203125" style="173" customWidth="1"/>
    <col min="4" max="16384" width="11.44140625" style="173"/>
  </cols>
  <sheetData>
    <row r="1" spans="1:2" x14ac:dyDescent="0.25">
      <c r="A1" s="173" t="s">
        <v>43</v>
      </c>
      <c r="B1" s="173" t="s">
        <v>49</v>
      </c>
    </row>
    <row r="3" spans="1:2" x14ac:dyDescent="0.25">
      <c r="A3" s="173" t="s">
        <v>264</v>
      </c>
      <c r="B3" s="174" t="s">
        <v>191</v>
      </c>
    </row>
    <row r="4" spans="1:2" x14ac:dyDescent="0.25">
      <c r="A4" s="175" t="s">
        <v>15</v>
      </c>
      <c r="B4" s="199">
        <v>176.05</v>
      </c>
    </row>
    <row r="5" spans="1:2" x14ac:dyDescent="0.25">
      <c r="A5" s="175" t="s">
        <v>37</v>
      </c>
      <c r="B5" s="199">
        <v>176.05</v>
      </c>
    </row>
    <row r="6" spans="1:2" x14ac:dyDescent="0.25">
      <c r="A6"/>
      <c r="B6"/>
    </row>
    <row r="7" spans="1:2" x14ac:dyDescent="0.25">
      <c r="A7"/>
      <c r="B7"/>
    </row>
    <row r="8" spans="1:2" x14ac:dyDescent="0.25">
      <c r="A8"/>
      <c r="B8"/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2:2" x14ac:dyDescent="0.25">
      <c r="B17" s="173"/>
    </row>
    <row r="18" spans="2:2" x14ac:dyDescent="0.25">
      <c r="B18" s="173"/>
    </row>
    <row r="19" spans="2:2" x14ac:dyDescent="0.25">
      <c r="B19" s="173"/>
    </row>
    <row r="20" spans="2:2" x14ac:dyDescent="0.25">
      <c r="B20" s="173"/>
    </row>
    <row r="21" spans="2:2" x14ac:dyDescent="0.25">
      <c r="B21" s="173"/>
    </row>
  </sheetData>
  <pageMargins left="0.7" right="0.7" top="0.75" bottom="0.75" header="0.3" footer="0.3"/>
  <pageSetup paperSize="0" orientation="portrait" horizontalDpi="203" verticalDpi="203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L11"/>
  <sheetViews>
    <sheetView showGridLines="0" showRowColHeaders="0" zoomScale="90" zoomScaleNormal="90" workbookViewId="0">
      <selection activeCell="I4" sqref="I4"/>
    </sheetView>
  </sheetViews>
  <sheetFormatPr baseColWidth="10" defaultColWidth="11.44140625" defaultRowHeight="13.2" x14ac:dyDescent="0.25"/>
  <cols>
    <col min="1" max="1" width="11.44140625" style="192"/>
    <col min="2" max="2" width="10.88671875" style="192" customWidth="1"/>
    <col min="3" max="3" width="11.88671875" style="192" bestFit="1" customWidth="1"/>
    <col min="4" max="4" width="19" style="192" customWidth="1"/>
    <col min="5" max="6" width="11.44140625" style="192"/>
    <col min="7" max="7" width="11.44140625" style="193"/>
    <col min="8" max="8" width="3.44140625" style="192" customWidth="1"/>
    <col min="9" max="10" width="11.44140625" style="192"/>
    <col min="11" max="11" width="3.44140625" style="192" customWidth="1"/>
    <col min="12" max="12" width="21" style="192" customWidth="1"/>
    <col min="13" max="13" width="14.88671875" style="192" customWidth="1"/>
    <col min="14" max="16384" width="11.44140625" style="192"/>
  </cols>
  <sheetData>
    <row r="1" spans="1:12" s="173" customFormat="1" ht="13.8" thickBot="1" x14ac:dyDescent="0.3">
      <c r="G1" s="201"/>
    </row>
    <row r="2" spans="1:12" s="202" customFormat="1" ht="13.8" thickBot="1" x14ac:dyDescent="0.3">
      <c r="A2" s="208" t="s">
        <v>43</v>
      </c>
      <c r="B2" s="209" t="s">
        <v>3</v>
      </c>
      <c r="C2" s="210" t="s">
        <v>0</v>
      </c>
      <c r="D2" s="210" t="s">
        <v>1</v>
      </c>
      <c r="E2" s="210" t="s">
        <v>34</v>
      </c>
      <c r="F2" s="210" t="s">
        <v>17</v>
      </c>
      <c r="G2" s="211" t="s">
        <v>35</v>
      </c>
    </row>
    <row r="3" spans="1:12" s="173" customFormat="1" x14ac:dyDescent="0.25">
      <c r="A3" s="203" t="s">
        <v>29</v>
      </c>
      <c r="B3" s="204">
        <f>Ventas!H2</f>
        <v>2647.2500000000005</v>
      </c>
      <c r="C3" s="204">
        <f>GastosFijos!H2</f>
        <v>871.21</v>
      </c>
      <c r="D3" s="204">
        <f>Proveedores!H2</f>
        <v>3902.6000000000004</v>
      </c>
      <c r="E3" s="204">
        <f>Nomina!H2</f>
        <v>0</v>
      </c>
      <c r="F3" s="204">
        <f>SUM(C3+D3+E3)</f>
        <v>4773.8100000000004</v>
      </c>
      <c r="G3" s="204">
        <f>B3-(SUM(C3+D3+E3))</f>
        <v>-2126.56</v>
      </c>
      <c r="I3" s="205">
        <f>Ventas!D4</f>
        <v>75</v>
      </c>
      <c r="J3" s="206">
        <f>Ventas!E4</f>
        <v>141.00079999999997</v>
      </c>
      <c r="L3" s="175" t="s">
        <v>258</v>
      </c>
    </row>
    <row r="4" spans="1:12" s="173" customFormat="1" x14ac:dyDescent="0.25">
      <c r="A4" s="203" t="s">
        <v>30</v>
      </c>
      <c r="B4" s="204">
        <f>Ventas!J1</f>
        <v>3549.25</v>
      </c>
      <c r="C4" s="204">
        <f>GastosFijos!J1</f>
        <v>1062.05</v>
      </c>
      <c r="D4" s="204">
        <f>Proveedores!J1</f>
        <v>1419.2500000000002</v>
      </c>
      <c r="E4" s="204">
        <f>Nomina!J1</f>
        <v>0</v>
      </c>
      <c r="F4" s="204">
        <f>SUM(C4+D4+E4)</f>
        <v>2481.3000000000002</v>
      </c>
      <c r="G4" s="204">
        <f>B4-(SUM(C4+D4+E4))</f>
        <v>1067.9499999999998</v>
      </c>
      <c r="I4" s="200"/>
      <c r="J4" s="207">
        <f>(F4+F5)/I3</f>
        <v>93.113466635767622</v>
      </c>
      <c r="L4" s="175" t="s">
        <v>259</v>
      </c>
    </row>
    <row r="5" spans="1:12" s="173" customFormat="1" x14ac:dyDescent="0.25">
      <c r="A5" s="203" t="s">
        <v>31</v>
      </c>
      <c r="B5" s="204">
        <f>Ventas!J2</f>
        <v>4029.06</v>
      </c>
      <c r="C5" s="204">
        <f>GastosFijos!J2</f>
        <v>2281.1299987792968</v>
      </c>
      <c r="D5" s="204">
        <f>Proveedores!J2</f>
        <v>1021.0799989032746</v>
      </c>
      <c r="E5" s="204">
        <f>Nomina!J2</f>
        <v>1200</v>
      </c>
      <c r="F5" s="204">
        <f>SUM(C5+D5+E5)</f>
        <v>4502.2099976825712</v>
      </c>
      <c r="G5" s="204">
        <f>B5-(SUM(C5+D5+E5))</f>
        <v>-473.14999768257121</v>
      </c>
    </row>
    <row r="6" spans="1:12" s="173" customFormat="1" x14ac:dyDescent="0.25">
      <c r="A6" s="203" t="s">
        <v>32</v>
      </c>
      <c r="B6" s="204">
        <f>Ventas!L1</f>
        <v>349.5</v>
      </c>
      <c r="C6" s="204">
        <f>GastosFijos!L1</f>
        <v>0</v>
      </c>
      <c r="D6" s="204">
        <f>Proveedores!L1</f>
        <v>176.05</v>
      </c>
      <c r="E6" s="204">
        <f>Nomina!L1</f>
        <v>0</v>
      </c>
      <c r="F6" s="204">
        <f>SUM(C6+D6+E6)</f>
        <v>176.05</v>
      </c>
      <c r="G6" s="204">
        <f>B6-(SUM(C6+D6+E6))</f>
        <v>173.45</v>
      </c>
    </row>
    <row r="7" spans="1:12" s="173" customFormat="1" x14ac:dyDescent="0.25">
      <c r="A7" s="203" t="s">
        <v>33</v>
      </c>
      <c r="B7" s="204">
        <f>Ventas!L2</f>
        <v>0</v>
      </c>
      <c r="C7" s="204">
        <f>GastosFijos!L2</f>
        <v>0</v>
      </c>
      <c r="D7" s="204">
        <f>Proveedores!L2</f>
        <v>0</v>
      </c>
      <c r="E7" s="204">
        <f>Nomina!L2</f>
        <v>0</v>
      </c>
      <c r="F7" s="204">
        <f>SUM(C7+D7+E7)</f>
        <v>0</v>
      </c>
      <c r="G7" s="204">
        <f>B7-(SUM(C7+D7+E7))</f>
        <v>0</v>
      </c>
    </row>
    <row r="8" spans="1:12" s="173" customFormat="1" x14ac:dyDescent="0.25">
      <c r="G8" s="201"/>
    </row>
    <row r="11" spans="1:12" x14ac:dyDescent="0.25">
      <c r="E11" s="194"/>
      <c r="F11" s="194"/>
    </row>
  </sheetData>
  <sheetProtection algorithmName="SHA-512" hashValue="4ROqWYkztZfrX/6HL9yDb9H6X/yQRmVkkx3eBRGRyO3V8UU27GTLvVeI08TaKYFwakZ0+sb9lul1ZJa3CCLCOA==" saltValue="Q2Fl0cTIU/NCfyKYyBsPUQ==" spinCount="100000" sheet="1" objects="1" scenarios="1" selectLockedCells="1" selectUnlockedCells="1"/>
  <pageMargins left="0.7" right="0.7" top="0.75" bottom="0.75" header="0.3" footer="0.3"/>
  <pageSetup paperSize="0" orientation="portrait" horizontalDpi="20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L173"/>
  <sheetViews>
    <sheetView workbookViewId="0">
      <selection activeCell="A2" sqref="A2"/>
    </sheetView>
  </sheetViews>
  <sheetFormatPr baseColWidth="10" defaultColWidth="11.44140625" defaultRowHeight="13.2" x14ac:dyDescent="0.25"/>
  <cols>
    <col min="1" max="1" width="10.109375" style="132" bestFit="1" customWidth="1"/>
    <col min="2" max="2" width="28.6640625" style="47" bestFit="1" customWidth="1"/>
    <col min="3" max="3" width="11.88671875" style="115" bestFit="1" customWidth="1"/>
    <col min="4" max="4" width="8.6640625" style="42" bestFit="1" customWidth="1"/>
    <col min="5" max="5" width="5" style="108" bestFit="1" customWidth="1"/>
    <col min="6" max="6" width="5" style="49" bestFit="1" customWidth="1"/>
    <col min="7" max="7" width="5.88671875" style="43" bestFit="1" customWidth="1"/>
    <col min="8" max="8" width="8.6640625" style="42" bestFit="1" customWidth="1"/>
    <col min="9" max="9" width="7.109375" style="43" bestFit="1" customWidth="1"/>
    <col min="10" max="10" width="12.33203125" style="43" bestFit="1" customWidth="1"/>
    <col min="11" max="16384" width="11.44140625" style="43"/>
  </cols>
  <sheetData>
    <row r="1" spans="1:12" x14ac:dyDescent="0.25">
      <c r="A1" s="113" t="s">
        <v>57</v>
      </c>
      <c r="B1" s="38" t="s">
        <v>58</v>
      </c>
      <c r="C1" s="114" t="s">
        <v>60</v>
      </c>
      <c r="D1" s="39" t="s">
        <v>61</v>
      </c>
      <c r="E1" s="109" t="s">
        <v>221</v>
      </c>
      <c r="F1" s="42"/>
      <c r="G1" s="39" t="s">
        <v>59</v>
      </c>
      <c r="H1" s="39">
        <f>SUM(C:C)-SUM(D:D)-50</f>
        <v>1073.7299992084522</v>
      </c>
      <c r="I1" s="42"/>
      <c r="J1" s="42"/>
      <c r="L1" s="43">
        <v>82</v>
      </c>
    </row>
    <row r="2" spans="1:12" x14ac:dyDescent="0.25">
      <c r="A2" s="131" t="s">
        <v>333</v>
      </c>
      <c r="B2" s="121" t="s">
        <v>83</v>
      </c>
      <c r="C2" s="171">
        <v>102.3</v>
      </c>
      <c r="D2" s="172"/>
      <c r="E2" s="123">
        <v>82</v>
      </c>
      <c r="F2" s="42"/>
      <c r="G2" s="39"/>
      <c r="H2" s="39"/>
      <c r="I2" s="42"/>
      <c r="J2" s="42"/>
    </row>
    <row r="3" spans="1:12" x14ac:dyDescent="0.25">
      <c r="A3" s="131" t="s">
        <v>332</v>
      </c>
      <c r="B3" s="121" t="s">
        <v>82</v>
      </c>
      <c r="C3" s="171"/>
      <c r="D3" s="172">
        <v>176.05</v>
      </c>
      <c r="E3" s="123">
        <v>81</v>
      </c>
      <c r="F3" s="42"/>
      <c r="G3" s="39"/>
      <c r="H3" s="39"/>
      <c r="I3" s="42"/>
      <c r="J3" s="42"/>
    </row>
    <row r="4" spans="1:12" x14ac:dyDescent="0.25">
      <c r="A4" s="131" t="s">
        <v>327</v>
      </c>
      <c r="B4" s="121" t="s">
        <v>83</v>
      </c>
      <c r="C4" s="171">
        <v>129.1</v>
      </c>
      <c r="D4" s="172"/>
      <c r="E4" s="123">
        <v>80</v>
      </c>
      <c r="F4" s="42"/>
      <c r="G4" s="39"/>
      <c r="H4" s="39"/>
      <c r="I4" s="42"/>
      <c r="J4" s="42"/>
    </row>
    <row r="5" spans="1:12" x14ac:dyDescent="0.25">
      <c r="A5" s="131" t="s">
        <v>327</v>
      </c>
      <c r="B5" s="121" t="s">
        <v>195</v>
      </c>
      <c r="C5" s="171"/>
      <c r="D5" s="172">
        <v>3.6</v>
      </c>
      <c r="E5" s="123">
        <v>79</v>
      </c>
      <c r="F5" s="42"/>
      <c r="G5" s="39"/>
      <c r="H5" s="39"/>
      <c r="I5" s="42"/>
      <c r="J5" s="42"/>
    </row>
    <row r="6" spans="1:12" x14ac:dyDescent="0.25">
      <c r="A6" s="131">
        <v>43769</v>
      </c>
      <c r="B6" s="121" t="s">
        <v>326</v>
      </c>
      <c r="C6" s="171"/>
      <c r="D6" s="172">
        <v>60.49</v>
      </c>
      <c r="E6" s="123">
        <v>78</v>
      </c>
      <c r="F6" s="42"/>
      <c r="G6" s="39"/>
      <c r="H6" s="39"/>
      <c r="I6" s="42"/>
      <c r="J6" s="42"/>
    </row>
    <row r="7" spans="1:12" x14ac:dyDescent="0.25">
      <c r="A7" s="131" t="s">
        <v>320</v>
      </c>
      <c r="B7" s="121" t="s">
        <v>65</v>
      </c>
      <c r="C7" s="171">
        <v>330.5</v>
      </c>
      <c r="D7" s="172"/>
      <c r="E7" s="123">
        <v>77</v>
      </c>
      <c r="F7" s="42"/>
      <c r="G7" s="39"/>
      <c r="H7" s="39"/>
      <c r="I7" s="42"/>
      <c r="J7" s="42"/>
    </row>
    <row r="8" spans="1:12" x14ac:dyDescent="0.25">
      <c r="A8" s="131" t="s">
        <v>317</v>
      </c>
      <c r="B8" s="121" t="s">
        <v>83</v>
      </c>
      <c r="C8" s="171">
        <v>77.2</v>
      </c>
      <c r="D8" s="172"/>
      <c r="E8" s="123">
        <v>76</v>
      </c>
      <c r="F8" s="42"/>
      <c r="G8" s="39"/>
      <c r="H8" s="39"/>
      <c r="I8" s="42"/>
      <c r="J8" s="42"/>
    </row>
    <row r="9" spans="1:12" x14ac:dyDescent="0.25">
      <c r="A9" s="131" t="s">
        <v>316</v>
      </c>
      <c r="B9" s="121" t="s">
        <v>83</v>
      </c>
      <c r="C9" s="171">
        <v>6</v>
      </c>
      <c r="D9" s="172"/>
      <c r="E9" s="123">
        <v>75</v>
      </c>
      <c r="F9" s="42"/>
      <c r="G9" s="39"/>
      <c r="H9" s="39"/>
      <c r="I9" s="42"/>
      <c r="J9" s="42"/>
    </row>
    <row r="10" spans="1:12" x14ac:dyDescent="0.25">
      <c r="A10" s="131" t="s">
        <v>315</v>
      </c>
      <c r="B10" s="121" t="s">
        <v>83</v>
      </c>
      <c r="C10" s="171">
        <v>61.3</v>
      </c>
      <c r="D10" s="172"/>
      <c r="E10" s="123">
        <v>74</v>
      </c>
      <c r="F10" s="42"/>
      <c r="G10" s="39"/>
      <c r="H10" s="39"/>
      <c r="I10" s="42"/>
      <c r="J10" s="42"/>
    </row>
    <row r="11" spans="1:12" x14ac:dyDescent="0.25">
      <c r="A11" s="131" t="s">
        <v>314</v>
      </c>
      <c r="B11" s="121" t="s">
        <v>195</v>
      </c>
      <c r="C11" s="171"/>
      <c r="D11" s="172">
        <v>4.37</v>
      </c>
      <c r="E11" s="123">
        <v>73</v>
      </c>
      <c r="F11" s="42"/>
      <c r="G11" s="39"/>
      <c r="H11" s="39"/>
      <c r="I11" s="42"/>
      <c r="J11" s="42"/>
    </row>
    <row r="12" spans="1:12" x14ac:dyDescent="0.25">
      <c r="A12" s="131" t="s">
        <v>314</v>
      </c>
      <c r="B12" s="121" t="s">
        <v>83</v>
      </c>
      <c r="C12" s="171">
        <v>118.3</v>
      </c>
      <c r="D12" s="172"/>
      <c r="E12" s="123">
        <v>72</v>
      </c>
      <c r="F12" s="42"/>
      <c r="G12" s="39"/>
      <c r="H12" s="39"/>
      <c r="I12" s="42"/>
      <c r="J12" s="42"/>
    </row>
    <row r="13" spans="1:12" x14ac:dyDescent="0.25">
      <c r="A13" s="131" t="s">
        <v>309</v>
      </c>
      <c r="B13" s="121" t="s">
        <v>83</v>
      </c>
      <c r="C13" s="171">
        <v>38</v>
      </c>
      <c r="D13" s="172"/>
      <c r="E13" s="123">
        <v>71</v>
      </c>
      <c r="F13" s="42"/>
      <c r="G13" s="39"/>
      <c r="H13" s="39"/>
      <c r="I13" s="42"/>
      <c r="J13" s="42"/>
    </row>
    <row r="14" spans="1:12" x14ac:dyDescent="0.25">
      <c r="A14" s="131" t="s">
        <v>310</v>
      </c>
      <c r="B14" s="121" t="s">
        <v>83</v>
      </c>
      <c r="C14" s="171">
        <v>12</v>
      </c>
      <c r="D14" s="172"/>
      <c r="E14" s="123">
        <v>70</v>
      </c>
      <c r="F14" s="42"/>
      <c r="G14" s="39"/>
      <c r="H14" s="39"/>
      <c r="I14" s="42"/>
      <c r="J14" s="42"/>
    </row>
    <row r="15" spans="1:12" x14ac:dyDescent="0.25">
      <c r="A15" s="131" t="s">
        <v>306</v>
      </c>
      <c r="B15" s="121" t="s">
        <v>83</v>
      </c>
      <c r="C15" s="171">
        <v>109.9</v>
      </c>
      <c r="D15" s="172"/>
      <c r="E15" s="123">
        <v>69</v>
      </c>
      <c r="F15" s="42"/>
      <c r="G15" s="39"/>
      <c r="H15" s="39"/>
      <c r="I15" s="42"/>
      <c r="J15" s="42"/>
    </row>
    <row r="16" spans="1:12" x14ac:dyDescent="0.25">
      <c r="A16" s="131">
        <v>43761</v>
      </c>
      <c r="B16" s="121" t="s">
        <v>83</v>
      </c>
      <c r="C16" s="171">
        <v>15.4</v>
      </c>
      <c r="D16" s="172"/>
      <c r="E16" s="123">
        <v>68</v>
      </c>
      <c r="F16" s="42"/>
      <c r="G16" s="39"/>
      <c r="H16" s="39"/>
      <c r="I16" s="42"/>
      <c r="J16" s="42"/>
    </row>
    <row r="17" spans="1:10" x14ac:dyDescent="0.25">
      <c r="A17" s="113" t="s">
        <v>302</v>
      </c>
      <c r="B17" s="38" t="s">
        <v>304</v>
      </c>
      <c r="C17" s="114"/>
      <c r="D17" s="39">
        <v>103.09</v>
      </c>
      <c r="E17" s="109">
        <v>67</v>
      </c>
      <c r="F17" s="42"/>
      <c r="G17" s="39"/>
      <c r="H17" s="39"/>
      <c r="I17" s="42"/>
      <c r="J17" s="42"/>
    </row>
    <row r="18" spans="1:10" x14ac:dyDescent="0.25">
      <c r="A18" s="113" t="s">
        <v>301</v>
      </c>
      <c r="B18" s="38" t="s">
        <v>83</v>
      </c>
      <c r="C18" s="114">
        <v>8</v>
      </c>
      <c r="D18" s="39"/>
      <c r="E18" s="109">
        <v>66</v>
      </c>
      <c r="F18" s="42"/>
      <c r="G18" s="39"/>
      <c r="H18" s="39"/>
      <c r="I18" s="42"/>
      <c r="J18" s="42"/>
    </row>
    <row r="19" spans="1:10" x14ac:dyDescent="0.25">
      <c r="A19" s="113">
        <v>43757</v>
      </c>
      <c r="B19" s="38" t="s">
        <v>20</v>
      </c>
      <c r="C19" s="114"/>
      <c r="D19" s="39">
        <v>3.09</v>
      </c>
      <c r="E19" s="109">
        <v>65</v>
      </c>
      <c r="F19" s="42"/>
      <c r="G19" s="39"/>
      <c r="H19" s="39"/>
      <c r="I19" s="42"/>
      <c r="J19" s="42"/>
    </row>
    <row r="20" spans="1:10" x14ac:dyDescent="0.25">
      <c r="A20" s="113" t="s">
        <v>299</v>
      </c>
      <c r="B20" s="38" t="s">
        <v>83</v>
      </c>
      <c r="C20" s="114">
        <v>105.59999847412109</v>
      </c>
      <c r="D20" s="39"/>
      <c r="E20" s="109">
        <v>64</v>
      </c>
      <c r="F20" s="42"/>
      <c r="G20" s="39"/>
      <c r="H20" s="39"/>
      <c r="I20" s="42"/>
      <c r="J20" s="42"/>
    </row>
    <row r="21" spans="1:10" x14ac:dyDescent="0.25">
      <c r="A21" s="113" t="s">
        <v>299</v>
      </c>
      <c r="B21" s="38" t="s">
        <v>300</v>
      </c>
      <c r="C21" s="114"/>
      <c r="D21" s="39">
        <v>600</v>
      </c>
      <c r="E21" s="109">
        <v>63</v>
      </c>
      <c r="F21" s="42"/>
      <c r="G21" s="39"/>
      <c r="H21" s="39"/>
      <c r="I21" s="42"/>
      <c r="J21" s="42"/>
    </row>
    <row r="22" spans="1:10" x14ac:dyDescent="0.25">
      <c r="A22" s="113" t="s">
        <v>290</v>
      </c>
      <c r="B22" s="38" t="s">
        <v>83</v>
      </c>
      <c r="C22" s="114">
        <v>114.59999847412109</v>
      </c>
      <c r="D22" s="39"/>
      <c r="E22" s="109">
        <v>62</v>
      </c>
      <c r="F22" s="42"/>
      <c r="G22" s="39"/>
      <c r="H22" s="39"/>
      <c r="I22" s="42"/>
      <c r="J22" s="42"/>
    </row>
    <row r="23" spans="1:10" x14ac:dyDescent="0.25">
      <c r="A23" s="113" t="s">
        <v>289</v>
      </c>
      <c r="B23" s="38" t="s">
        <v>83</v>
      </c>
      <c r="C23" s="114">
        <v>28.799999237060547</v>
      </c>
      <c r="D23" s="39"/>
      <c r="E23" s="109">
        <v>61</v>
      </c>
      <c r="F23" s="42"/>
      <c r="G23" s="39"/>
      <c r="H23" s="39"/>
      <c r="I23" s="42"/>
      <c r="J23" s="42"/>
    </row>
    <row r="24" spans="1:10" x14ac:dyDescent="0.25">
      <c r="A24" s="113" t="s">
        <v>265</v>
      </c>
      <c r="B24" s="38" t="s">
        <v>272</v>
      </c>
      <c r="C24" s="114">
        <v>75.5</v>
      </c>
      <c r="D24" s="39"/>
      <c r="E24" s="109">
        <v>60</v>
      </c>
      <c r="F24" s="42"/>
      <c r="G24" s="39"/>
      <c r="H24" s="39"/>
      <c r="I24" s="42"/>
      <c r="J24" s="42"/>
    </row>
    <row r="25" spans="1:10" x14ac:dyDescent="0.25">
      <c r="A25" s="113" t="s">
        <v>261</v>
      </c>
      <c r="B25" s="38" t="s">
        <v>266</v>
      </c>
      <c r="C25" s="114">
        <v>11.800000190734863</v>
      </c>
      <c r="D25" s="39"/>
      <c r="E25" s="109">
        <v>59</v>
      </c>
      <c r="F25" s="42"/>
      <c r="G25" s="39"/>
      <c r="H25" s="39"/>
      <c r="I25" s="42"/>
      <c r="J25" s="42"/>
    </row>
    <row r="26" spans="1:10" x14ac:dyDescent="0.25">
      <c r="A26" s="113" t="s">
        <v>265</v>
      </c>
      <c r="B26" s="38" t="s">
        <v>20</v>
      </c>
      <c r="C26" s="114"/>
      <c r="D26" s="39">
        <v>2.2200000286102295</v>
      </c>
      <c r="E26" s="109">
        <v>58</v>
      </c>
      <c r="F26" s="42"/>
      <c r="G26" s="39"/>
      <c r="H26" s="39"/>
      <c r="I26" s="42"/>
      <c r="J26" s="42"/>
    </row>
    <row r="27" spans="1:10" x14ac:dyDescent="0.25">
      <c r="A27" s="113" t="s">
        <v>261</v>
      </c>
      <c r="B27" s="38" t="s">
        <v>83</v>
      </c>
      <c r="C27" s="114">
        <v>11.699999809265137</v>
      </c>
      <c r="D27" s="39"/>
      <c r="E27" s="109">
        <v>57</v>
      </c>
      <c r="F27" s="42"/>
      <c r="G27" s="39"/>
      <c r="H27" s="39"/>
      <c r="I27" s="42"/>
      <c r="J27" s="42"/>
    </row>
    <row r="28" spans="1:10" x14ac:dyDescent="0.25">
      <c r="A28" s="113" t="s">
        <v>260</v>
      </c>
      <c r="B28" s="38" t="s">
        <v>83</v>
      </c>
      <c r="C28" s="114">
        <v>98.699996948242188</v>
      </c>
      <c r="D28" s="39"/>
      <c r="E28" s="109">
        <v>56</v>
      </c>
      <c r="F28" s="42"/>
      <c r="G28" s="39"/>
      <c r="H28" s="39"/>
      <c r="I28" s="42"/>
      <c r="J28" s="42"/>
    </row>
    <row r="29" spans="1:10" x14ac:dyDescent="0.25">
      <c r="A29" s="113" t="s">
        <v>256</v>
      </c>
      <c r="B29" s="38" t="s">
        <v>83</v>
      </c>
      <c r="C29" s="114">
        <v>154.80000305175781</v>
      </c>
      <c r="D29" s="39"/>
      <c r="E29" s="109">
        <v>55</v>
      </c>
      <c r="F29" s="42"/>
      <c r="G29" s="39"/>
      <c r="H29" s="39"/>
      <c r="I29" s="42"/>
      <c r="J29" s="42"/>
    </row>
    <row r="30" spans="1:10" x14ac:dyDescent="0.25">
      <c r="A30" s="113" t="s">
        <v>255</v>
      </c>
      <c r="B30" s="38" t="s">
        <v>83</v>
      </c>
      <c r="C30" s="114">
        <v>67.699996948242188</v>
      </c>
      <c r="D30" s="39"/>
      <c r="E30" s="109">
        <v>54</v>
      </c>
      <c r="F30" s="42"/>
      <c r="G30" s="39"/>
      <c r="H30" s="39"/>
      <c r="I30" s="42"/>
      <c r="J30" s="42"/>
    </row>
    <row r="31" spans="1:10" x14ac:dyDescent="0.25">
      <c r="A31" s="113" t="s">
        <v>255</v>
      </c>
      <c r="B31" s="38" t="s">
        <v>83</v>
      </c>
      <c r="C31" s="114">
        <v>142.60000610351563</v>
      </c>
      <c r="D31" s="39"/>
      <c r="E31" s="109">
        <v>53</v>
      </c>
      <c r="F31" s="42"/>
      <c r="G31" s="39"/>
      <c r="H31" s="39"/>
      <c r="I31" s="42"/>
      <c r="J31" s="42"/>
    </row>
    <row r="32" spans="1:10" x14ac:dyDescent="0.25">
      <c r="A32" s="113" t="s">
        <v>250</v>
      </c>
      <c r="B32" s="38" t="s">
        <v>251</v>
      </c>
      <c r="C32" s="114"/>
      <c r="D32" s="39">
        <v>18</v>
      </c>
      <c r="E32" s="109">
        <v>52</v>
      </c>
      <c r="F32" s="42"/>
      <c r="G32" s="39"/>
      <c r="H32" s="39"/>
      <c r="I32" s="42"/>
      <c r="J32" s="42"/>
    </row>
    <row r="33" spans="1:10" x14ac:dyDescent="0.25">
      <c r="A33" s="113" t="s">
        <v>250</v>
      </c>
      <c r="B33" s="38" t="s">
        <v>83</v>
      </c>
      <c r="C33" s="114">
        <v>54</v>
      </c>
      <c r="D33" s="39"/>
      <c r="E33" s="109">
        <v>51</v>
      </c>
      <c r="F33" s="42"/>
      <c r="G33" s="39"/>
      <c r="H33" s="39"/>
      <c r="I33" s="42"/>
      <c r="J33" s="42"/>
    </row>
    <row r="34" spans="1:10" x14ac:dyDescent="0.25">
      <c r="A34" s="113" t="s">
        <v>238</v>
      </c>
      <c r="B34" s="38" t="s">
        <v>219</v>
      </c>
      <c r="C34" s="114"/>
      <c r="D34" s="39">
        <v>6.33</v>
      </c>
      <c r="E34" s="109">
        <v>50</v>
      </c>
      <c r="F34" s="42"/>
      <c r="G34" s="39"/>
      <c r="H34" s="39"/>
      <c r="I34" s="42"/>
      <c r="J34" s="42"/>
    </row>
    <row r="35" spans="1:10" x14ac:dyDescent="0.25">
      <c r="A35" s="113" t="s">
        <v>237</v>
      </c>
      <c r="B35" s="38" t="s">
        <v>65</v>
      </c>
      <c r="C35" s="114">
        <v>67</v>
      </c>
      <c r="D35" s="39"/>
      <c r="E35" s="109">
        <v>49</v>
      </c>
      <c r="F35" s="42"/>
      <c r="G35" s="39"/>
      <c r="H35" s="39"/>
      <c r="I35" s="42"/>
      <c r="J35" s="42"/>
    </row>
    <row r="36" spans="1:10" x14ac:dyDescent="0.25">
      <c r="A36" s="113" t="s">
        <v>238</v>
      </c>
      <c r="B36" s="38" t="s">
        <v>38</v>
      </c>
      <c r="C36" s="114"/>
      <c r="D36" s="39">
        <v>156.34</v>
      </c>
      <c r="E36" s="109">
        <v>48</v>
      </c>
      <c r="F36" s="42"/>
      <c r="G36" s="39"/>
      <c r="H36" s="39"/>
      <c r="I36" s="42"/>
      <c r="J36" s="42"/>
    </row>
    <row r="37" spans="1:10" x14ac:dyDescent="0.25">
      <c r="A37" s="113" t="s">
        <v>237</v>
      </c>
      <c r="B37" s="38" t="s">
        <v>239</v>
      </c>
      <c r="C37" s="114"/>
      <c r="D37" s="39">
        <v>600</v>
      </c>
      <c r="E37" s="109">
        <v>47</v>
      </c>
      <c r="F37" s="42"/>
      <c r="G37" s="39"/>
      <c r="H37" s="39"/>
      <c r="I37" s="42"/>
      <c r="J37" s="42"/>
    </row>
    <row r="38" spans="1:10" x14ac:dyDescent="0.25">
      <c r="A38" s="113" t="s">
        <v>235</v>
      </c>
      <c r="B38" s="38" t="s">
        <v>195</v>
      </c>
      <c r="C38" s="114"/>
      <c r="D38" s="39">
        <v>6.67</v>
      </c>
      <c r="E38" s="109">
        <v>46</v>
      </c>
      <c r="F38" s="42"/>
      <c r="G38" s="39"/>
      <c r="H38" s="39"/>
      <c r="I38" s="42"/>
      <c r="J38" s="42"/>
    </row>
    <row r="39" spans="1:10" x14ac:dyDescent="0.25">
      <c r="A39" s="113" t="s">
        <v>235</v>
      </c>
      <c r="B39" s="38" t="s">
        <v>65</v>
      </c>
      <c r="C39" s="114">
        <v>148.80000000000001</v>
      </c>
      <c r="D39" s="39"/>
      <c r="E39" s="109">
        <v>45</v>
      </c>
      <c r="F39" s="42"/>
      <c r="G39" s="39"/>
      <c r="H39" s="39"/>
      <c r="I39" s="42"/>
      <c r="J39" s="42"/>
    </row>
    <row r="40" spans="1:10" x14ac:dyDescent="0.25">
      <c r="A40" s="113" t="s">
        <v>231</v>
      </c>
      <c r="B40" s="38" t="s">
        <v>65</v>
      </c>
      <c r="C40" s="114">
        <v>119.1</v>
      </c>
      <c r="D40" s="39"/>
      <c r="E40" s="109">
        <v>44</v>
      </c>
      <c r="F40" s="42"/>
      <c r="G40" s="39"/>
      <c r="H40" s="39"/>
      <c r="I40" s="42"/>
      <c r="J40" s="42"/>
    </row>
    <row r="41" spans="1:10" x14ac:dyDescent="0.25">
      <c r="A41" s="113" t="s">
        <v>232</v>
      </c>
      <c r="B41" s="38" t="s">
        <v>90</v>
      </c>
      <c r="C41" s="114">
        <v>36.4</v>
      </c>
      <c r="D41" s="39"/>
      <c r="E41" s="109">
        <v>43</v>
      </c>
      <c r="F41" s="42"/>
      <c r="G41" s="39"/>
      <c r="H41" s="39"/>
      <c r="I41" s="42"/>
      <c r="J41" s="42"/>
    </row>
    <row r="42" spans="1:10" x14ac:dyDescent="0.25">
      <c r="A42" s="113" t="s">
        <v>228</v>
      </c>
      <c r="B42" s="38" t="s">
        <v>65</v>
      </c>
      <c r="C42" s="114">
        <v>74.5</v>
      </c>
      <c r="D42" s="39"/>
      <c r="E42" s="109">
        <v>42</v>
      </c>
      <c r="F42" s="42"/>
      <c r="G42" s="39"/>
      <c r="H42" s="39"/>
      <c r="I42" s="42"/>
      <c r="J42" s="42"/>
    </row>
    <row r="43" spans="1:10" x14ac:dyDescent="0.25">
      <c r="A43" s="113" t="s">
        <v>223</v>
      </c>
      <c r="B43" s="38" t="s">
        <v>83</v>
      </c>
      <c r="C43" s="114">
        <v>46.9</v>
      </c>
      <c r="D43" s="39"/>
      <c r="E43" s="109">
        <v>41</v>
      </c>
      <c r="F43" s="42"/>
      <c r="G43" s="39"/>
      <c r="H43" s="39"/>
      <c r="I43" s="42"/>
      <c r="J43" s="42"/>
    </row>
    <row r="44" spans="1:10" x14ac:dyDescent="0.25">
      <c r="A44" s="113" t="s">
        <v>223</v>
      </c>
      <c r="B44" s="38" t="s">
        <v>226</v>
      </c>
      <c r="C44" s="114"/>
      <c r="D44" s="39">
        <v>17.8</v>
      </c>
      <c r="E44" s="109">
        <v>40</v>
      </c>
      <c r="F44" s="42"/>
      <c r="G44" s="39"/>
      <c r="H44" s="39"/>
      <c r="I44" s="42"/>
      <c r="J44" s="42"/>
    </row>
    <row r="45" spans="1:10" x14ac:dyDescent="0.25">
      <c r="A45" s="113" t="s">
        <v>223</v>
      </c>
      <c r="B45" s="38" t="s">
        <v>73</v>
      </c>
      <c r="C45" s="114"/>
      <c r="D45" s="39">
        <v>500</v>
      </c>
      <c r="E45" s="109">
        <v>39</v>
      </c>
      <c r="F45" s="42"/>
      <c r="G45" s="39"/>
      <c r="H45" s="39"/>
      <c r="I45" s="42"/>
      <c r="J45" s="42"/>
    </row>
    <row r="46" spans="1:10" x14ac:dyDescent="0.25">
      <c r="A46" s="113" t="s">
        <v>223</v>
      </c>
      <c r="B46" s="38" t="s">
        <v>219</v>
      </c>
      <c r="C46" s="114"/>
      <c r="D46" s="39">
        <v>3.15</v>
      </c>
      <c r="E46" s="109">
        <v>38</v>
      </c>
      <c r="F46" s="42"/>
      <c r="G46" s="39"/>
      <c r="H46" s="39"/>
      <c r="I46" s="42"/>
      <c r="J46" s="42"/>
    </row>
    <row r="47" spans="1:10" x14ac:dyDescent="0.25">
      <c r="A47" s="113" t="s">
        <v>223</v>
      </c>
      <c r="B47" s="38" t="s">
        <v>225</v>
      </c>
      <c r="C47" s="114"/>
      <c r="D47" s="39">
        <v>25.2</v>
      </c>
      <c r="E47" s="109">
        <v>37</v>
      </c>
      <c r="F47" s="42"/>
      <c r="G47" s="39"/>
      <c r="H47" s="39"/>
      <c r="I47" s="42"/>
      <c r="J47" s="42"/>
    </row>
    <row r="48" spans="1:10" x14ac:dyDescent="0.25">
      <c r="A48" s="113" t="s">
        <v>220</v>
      </c>
      <c r="B48" s="38" t="s">
        <v>83</v>
      </c>
      <c r="C48" s="114">
        <v>70.8</v>
      </c>
      <c r="D48" s="39"/>
      <c r="E48" s="109">
        <v>36</v>
      </c>
      <c r="F48" s="42"/>
      <c r="G48" s="39"/>
      <c r="H48" s="39"/>
      <c r="I48" s="42"/>
      <c r="J48" s="42"/>
    </row>
    <row r="49" spans="1:10" x14ac:dyDescent="0.25">
      <c r="A49" s="113" t="s">
        <v>220</v>
      </c>
      <c r="B49" s="38" t="s">
        <v>83</v>
      </c>
      <c r="C49" s="114">
        <v>102.2</v>
      </c>
      <c r="D49" s="39"/>
      <c r="E49" s="109">
        <v>35</v>
      </c>
      <c r="F49" s="42"/>
      <c r="G49" s="39"/>
      <c r="H49" s="39"/>
      <c r="I49" s="42"/>
      <c r="J49" s="42"/>
    </row>
    <row r="50" spans="1:10" x14ac:dyDescent="0.25">
      <c r="A50" s="113" t="s">
        <v>204</v>
      </c>
      <c r="B50" s="38" t="s">
        <v>83</v>
      </c>
      <c r="C50" s="114">
        <v>211.7</v>
      </c>
      <c r="D50" s="39"/>
      <c r="E50" s="109">
        <v>34</v>
      </c>
      <c r="F50" s="42"/>
      <c r="G50" s="39"/>
      <c r="H50" s="39"/>
      <c r="I50" s="42"/>
      <c r="J50" s="42"/>
    </row>
    <row r="51" spans="1:10" x14ac:dyDescent="0.25">
      <c r="A51" s="113" t="s">
        <v>204</v>
      </c>
      <c r="B51" s="38" t="s">
        <v>195</v>
      </c>
      <c r="C51" s="114"/>
      <c r="D51" s="39">
        <v>4</v>
      </c>
      <c r="E51" s="109">
        <v>33</v>
      </c>
      <c r="F51" s="42"/>
      <c r="G51" s="39"/>
      <c r="H51" s="39"/>
      <c r="I51" s="42"/>
      <c r="J51" s="42"/>
    </row>
    <row r="52" spans="1:10" x14ac:dyDescent="0.25">
      <c r="A52" s="113" t="s">
        <v>202</v>
      </c>
      <c r="B52" s="38" t="s">
        <v>83</v>
      </c>
      <c r="C52" s="114">
        <v>16</v>
      </c>
      <c r="D52" s="39"/>
      <c r="E52" s="109">
        <v>32</v>
      </c>
      <c r="F52" s="42"/>
      <c r="G52" s="39"/>
      <c r="H52" s="39"/>
      <c r="I52" s="42"/>
      <c r="J52" s="42"/>
    </row>
    <row r="53" spans="1:10" x14ac:dyDescent="0.25">
      <c r="A53" s="113">
        <v>43733</v>
      </c>
      <c r="B53" s="38" t="s">
        <v>83</v>
      </c>
      <c r="C53" s="114">
        <v>36</v>
      </c>
      <c r="D53" s="39"/>
      <c r="E53" s="109">
        <v>31</v>
      </c>
      <c r="F53" s="42"/>
      <c r="G53" s="39"/>
      <c r="H53" s="39"/>
      <c r="I53" s="42"/>
      <c r="J53" s="42"/>
    </row>
    <row r="54" spans="1:10" x14ac:dyDescent="0.25">
      <c r="A54" s="113" t="s">
        <v>193</v>
      </c>
      <c r="B54" s="38" t="s">
        <v>65</v>
      </c>
      <c r="C54" s="114">
        <v>9.3000000000000007</v>
      </c>
      <c r="D54" s="39"/>
      <c r="E54" s="109">
        <v>30</v>
      </c>
      <c r="F54" s="42"/>
      <c r="G54" s="39"/>
      <c r="H54" s="39"/>
      <c r="I54" s="42"/>
      <c r="J54" s="42"/>
    </row>
    <row r="55" spans="1:10" x14ac:dyDescent="0.25">
      <c r="A55" s="113" t="s">
        <v>193</v>
      </c>
      <c r="B55" s="38" t="s">
        <v>83</v>
      </c>
      <c r="C55" s="114">
        <v>40.299999999999997</v>
      </c>
      <c r="D55" s="39"/>
      <c r="E55" s="109">
        <v>29</v>
      </c>
      <c r="F55" s="42"/>
      <c r="G55" s="39"/>
      <c r="H55" s="39"/>
      <c r="I55" s="42"/>
      <c r="J55" s="42"/>
    </row>
    <row r="56" spans="1:10" x14ac:dyDescent="0.25">
      <c r="A56" s="113" t="s">
        <v>193</v>
      </c>
      <c r="B56" s="38" t="s">
        <v>203</v>
      </c>
      <c r="C56" s="114"/>
      <c r="D56" s="39">
        <v>149.08000000000001</v>
      </c>
      <c r="E56" s="109">
        <v>28</v>
      </c>
      <c r="F56" s="42"/>
      <c r="G56" s="39"/>
      <c r="H56" s="39"/>
      <c r="I56" s="42"/>
      <c r="J56" s="42"/>
    </row>
    <row r="57" spans="1:10" x14ac:dyDescent="0.25">
      <c r="A57" s="113" t="s">
        <v>196</v>
      </c>
      <c r="B57" s="38" t="s">
        <v>83</v>
      </c>
      <c r="C57" s="114">
        <v>194.4</v>
      </c>
      <c r="D57" s="39"/>
      <c r="E57" s="109">
        <v>27</v>
      </c>
      <c r="F57" s="42"/>
      <c r="G57" s="39"/>
      <c r="H57" s="39"/>
      <c r="I57" s="42"/>
      <c r="J57" s="42"/>
    </row>
    <row r="58" spans="1:10" x14ac:dyDescent="0.25">
      <c r="A58" s="113" t="s">
        <v>192</v>
      </c>
      <c r="B58" s="38" t="s">
        <v>83</v>
      </c>
      <c r="C58" s="114">
        <v>77.8</v>
      </c>
      <c r="D58" s="39"/>
      <c r="E58" s="109">
        <v>26</v>
      </c>
      <c r="F58" s="42"/>
      <c r="G58" s="39"/>
      <c r="H58" s="39"/>
      <c r="I58" s="42"/>
      <c r="J58" s="42"/>
    </row>
    <row r="59" spans="1:10" x14ac:dyDescent="0.25">
      <c r="A59" s="113" t="s">
        <v>192</v>
      </c>
      <c r="B59" s="38" t="s">
        <v>195</v>
      </c>
      <c r="C59" s="114"/>
      <c r="D59" s="39">
        <v>1.82</v>
      </c>
      <c r="E59" s="109">
        <v>25</v>
      </c>
      <c r="F59" s="42"/>
      <c r="G59" s="39"/>
      <c r="H59" s="39"/>
      <c r="I59" s="42"/>
      <c r="J59" s="42"/>
    </row>
    <row r="60" spans="1:10" x14ac:dyDescent="0.25">
      <c r="A60" s="113" t="s">
        <v>194</v>
      </c>
      <c r="B60" s="38" t="s">
        <v>83</v>
      </c>
      <c r="C60" s="114">
        <v>63.4</v>
      </c>
      <c r="D60" s="39"/>
      <c r="E60" s="109">
        <v>24</v>
      </c>
      <c r="F60" s="42"/>
      <c r="G60" s="39"/>
      <c r="H60" s="39"/>
      <c r="I60" s="42"/>
      <c r="J60" s="42"/>
    </row>
    <row r="61" spans="1:10" x14ac:dyDescent="0.25">
      <c r="A61" s="113">
        <v>43726</v>
      </c>
      <c r="B61" s="38" t="s">
        <v>83</v>
      </c>
      <c r="C61" s="114">
        <v>83.8</v>
      </c>
      <c r="D61" s="39"/>
      <c r="E61" s="109">
        <v>23</v>
      </c>
      <c r="F61" s="42"/>
      <c r="G61" s="39"/>
      <c r="H61" s="39"/>
      <c r="I61" s="42"/>
      <c r="J61" s="42"/>
    </row>
    <row r="62" spans="1:10" x14ac:dyDescent="0.25">
      <c r="A62" s="113" t="s">
        <v>97</v>
      </c>
      <c r="B62" s="38" t="s">
        <v>100</v>
      </c>
      <c r="C62" s="114">
        <v>42.9</v>
      </c>
      <c r="D62" s="39"/>
      <c r="E62" s="109">
        <v>22</v>
      </c>
      <c r="F62" s="42"/>
      <c r="G62" s="39"/>
      <c r="H62" s="39"/>
      <c r="I62" s="42"/>
      <c r="J62" s="42"/>
    </row>
    <row r="63" spans="1:10" x14ac:dyDescent="0.25">
      <c r="A63" s="113" t="s">
        <v>97</v>
      </c>
      <c r="B63" s="38" t="s">
        <v>99</v>
      </c>
      <c r="C63" s="114"/>
      <c r="D63" s="39">
        <v>33.32</v>
      </c>
      <c r="E63" s="109">
        <v>21</v>
      </c>
      <c r="F63" s="42"/>
      <c r="G63" s="39"/>
      <c r="H63" s="39"/>
      <c r="I63" s="42"/>
      <c r="J63" s="42"/>
    </row>
    <row r="64" spans="1:10" x14ac:dyDescent="0.25">
      <c r="A64" s="113" t="s">
        <v>95</v>
      </c>
      <c r="B64" s="38" t="s">
        <v>96</v>
      </c>
      <c r="C64" s="114"/>
      <c r="D64" s="39">
        <v>400</v>
      </c>
      <c r="E64" s="109">
        <v>20</v>
      </c>
      <c r="F64" s="42"/>
      <c r="G64" s="39"/>
      <c r="H64" s="39"/>
      <c r="I64" s="42"/>
      <c r="J64" s="42"/>
    </row>
    <row r="65" spans="1:10" x14ac:dyDescent="0.25">
      <c r="A65" s="113" t="s">
        <v>92</v>
      </c>
      <c r="B65" s="38" t="s">
        <v>83</v>
      </c>
      <c r="C65" s="114">
        <v>43.25</v>
      </c>
      <c r="D65" s="39"/>
      <c r="E65" s="109">
        <v>19</v>
      </c>
      <c r="F65" s="42"/>
      <c r="G65" s="39"/>
      <c r="H65" s="39"/>
      <c r="I65" s="42"/>
      <c r="J65" s="42"/>
    </row>
    <row r="66" spans="1:10" x14ac:dyDescent="0.25">
      <c r="A66" s="113" t="s">
        <v>92</v>
      </c>
      <c r="B66" s="38" t="s">
        <v>93</v>
      </c>
      <c r="C66" s="114"/>
      <c r="D66" s="39">
        <v>50</v>
      </c>
      <c r="E66" s="109">
        <v>18</v>
      </c>
      <c r="F66" s="42"/>
      <c r="G66" s="39"/>
      <c r="H66" s="39"/>
      <c r="I66" s="42"/>
      <c r="J66" s="42"/>
    </row>
    <row r="67" spans="1:10" x14ac:dyDescent="0.25">
      <c r="A67" s="113" t="s">
        <v>88</v>
      </c>
      <c r="B67" s="38" t="s">
        <v>90</v>
      </c>
      <c r="C67" s="114">
        <v>122.9</v>
      </c>
      <c r="D67" s="39"/>
      <c r="E67" s="109">
        <v>17</v>
      </c>
      <c r="F67" s="42"/>
      <c r="G67" s="39"/>
      <c r="H67" s="39"/>
      <c r="I67" s="42"/>
      <c r="J67" s="42"/>
    </row>
    <row r="68" spans="1:10" x14ac:dyDescent="0.25">
      <c r="A68" s="113" t="s">
        <v>84</v>
      </c>
      <c r="B68" s="38" t="s">
        <v>83</v>
      </c>
      <c r="C68" s="114">
        <v>176.3</v>
      </c>
      <c r="D68" s="39"/>
      <c r="E68" s="109">
        <v>16</v>
      </c>
      <c r="F68" s="42"/>
      <c r="G68" s="39"/>
      <c r="H68" s="39"/>
      <c r="I68" s="42"/>
      <c r="J68" s="42"/>
    </row>
    <row r="69" spans="1:10" x14ac:dyDescent="0.25">
      <c r="A69" s="113" t="s">
        <v>80</v>
      </c>
      <c r="B69" s="38" t="s">
        <v>65</v>
      </c>
      <c r="C69" s="114">
        <v>32.1</v>
      </c>
      <c r="D69" s="39"/>
      <c r="E69" s="109">
        <v>15</v>
      </c>
      <c r="F69" s="42"/>
      <c r="G69" s="39"/>
      <c r="H69" s="39"/>
      <c r="I69" s="42"/>
      <c r="J69" s="42"/>
    </row>
    <row r="70" spans="1:10" x14ac:dyDescent="0.25">
      <c r="A70" s="113" t="s">
        <v>80</v>
      </c>
      <c r="B70" s="38" t="s">
        <v>83</v>
      </c>
      <c r="C70" s="114">
        <v>164.4</v>
      </c>
      <c r="D70" s="39"/>
      <c r="E70" s="109">
        <v>14</v>
      </c>
      <c r="F70" s="42"/>
      <c r="G70" s="39"/>
      <c r="H70" s="39"/>
      <c r="I70" s="42"/>
      <c r="J70" s="42"/>
    </row>
    <row r="71" spans="1:10" x14ac:dyDescent="0.25">
      <c r="A71" s="113" t="s">
        <v>75</v>
      </c>
      <c r="B71" s="38" t="s">
        <v>76</v>
      </c>
      <c r="C71" s="114"/>
      <c r="D71" s="39">
        <v>300</v>
      </c>
      <c r="E71" s="109">
        <v>13</v>
      </c>
      <c r="F71" s="42"/>
      <c r="G71" s="39"/>
      <c r="H71" s="39"/>
      <c r="I71" s="42"/>
      <c r="J71" s="42"/>
    </row>
    <row r="72" spans="1:10" x14ac:dyDescent="0.25">
      <c r="A72" s="113" t="s">
        <v>75</v>
      </c>
      <c r="B72" s="38" t="s">
        <v>65</v>
      </c>
      <c r="C72" s="114">
        <v>12.1</v>
      </c>
      <c r="D72" s="39"/>
      <c r="E72" s="109">
        <v>12</v>
      </c>
      <c r="F72" s="42"/>
      <c r="G72" s="39"/>
      <c r="H72" s="39"/>
      <c r="I72" s="42"/>
      <c r="J72" s="42"/>
    </row>
    <row r="73" spans="1:10" x14ac:dyDescent="0.25">
      <c r="A73" s="113" t="s">
        <v>74</v>
      </c>
      <c r="B73" s="38" t="s">
        <v>65</v>
      </c>
      <c r="C73" s="114">
        <v>25.3</v>
      </c>
      <c r="D73" s="39"/>
      <c r="E73" s="109">
        <v>11</v>
      </c>
      <c r="F73" s="42"/>
      <c r="G73" s="39"/>
      <c r="H73" s="39"/>
      <c r="I73" s="42"/>
      <c r="J73" s="42"/>
    </row>
    <row r="74" spans="1:10" x14ac:dyDescent="0.25">
      <c r="A74" s="113" t="s">
        <v>72</v>
      </c>
      <c r="B74" s="38" t="s">
        <v>65</v>
      </c>
      <c r="C74" s="114">
        <v>175.9</v>
      </c>
      <c r="D74" s="39"/>
      <c r="E74" s="109">
        <v>10</v>
      </c>
      <c r="F74" s="42"/>
      <c r="G74" s="39"/>
      <c r="H74" s="39"/>
      <c r="I74" s="42"/>
      <c r="J74" s="42"/>
    </row>
    <row r="75" spans="1:10" x14ac:dyDescent="0.25">
      <c r="A75" s="113" t="s">
        <v>72</v>
      </c>
      <c r="B75" s="38" t="s">
        <v>73</v>
      </c>
      <c r="C75" s="114"/>
      <c r="D75" s="39">
        <v>500</v>
      </c>
      <c r="E75" s="109">
        <v>9</v>
      </c>
      <c r="F75" s="42"/>
      <c r="G75" s="39"/>
      <c r="H75" s="39"/>
      <c r="I75" s="42"/>
      <c r="J75" s="42"/>
    </row>
    <row r="76" spans="1:10" x14ac:dyDescent="0.25">
      <c r="A76" s="113" t="s">
        <v>70</v>
      </c>
      <c r="B76" s="38" t="s">
        <v>65</v>
      </c>
      <c r="C76" s="114">
        <v>178.2</v>
      </c>
      <c r="D76" s="39"/>
      <c r="E76" s="109">
        <v>8</v>
      </c>
      <c r="F76" s="42"/>
      <c r="G76" s="39"/>
      <c r="H76" s="39"/>
      <c r="I76" s="42"/>
      <c r="J76" s="42"/>
    </row>
    <row r="77" spans="1:10" x14ac:dyDescent="0.25">
      <c r="A77" s="113" t="s">
        <v>70</v>
      </c>
      <c r="B77" s="38" t="s">
        <v>71</v>
      </c>
      <c r="C77" s="114"/>
      <c r="D77" s="39">
        <v>3</v>
      </c>
      <c r="E77" s="109">
        <v>7</v>
      </c>
      <c r="F77" s="42"/>
      <c r="G77" s="39"/>
      <c r="H77" s="39"/>
      <c r="I77" s="42"/>
      <c r="J77" s="42"/>
    </row>
    <row r="78" spans="1:10" x14ac:dyDescent="0.25">
      <c r="A78" s="113" t="s">
        <v>69</v>
      </c>
      <c r="B78" s="38" t="s">
        <v>65</v>
      </c>
      <c r="C78" s="114">
        <v>57.1</v>
      </c>
      <c r="D78" s="39"/>
      <c r="E78" s="109">
        <v>6</v>
      </c>
      <c r="F78" s="42"/>
      <c r="G78" s="39"/>
      <c r="H78" s="39"/>
      <c r="I78" s="42"/>
      <c r="J78" s="42"/>
    </row>
    <row r="79" spans="1:10" x14ac:dyDescent="0.25">
      <c r="A79" s="113" t="s">
        <v>67</v>
      </c>
      <c r="B79" s="38" t="s">
        <v>65</v>
      </c>
      <c r="C79" s="114">
        <v>48.5</v>
      </c>
      <c r="D79" s="39"/>
      <c r="E79" s="109">
        <v>5</v>
      </c>
      <c r="F79" s="42"/>
      <c r="G79" s="39"/>
      <c r="H79" s="39"/>
      <c r="I79" s="42"/>
      <c r="J79" s="42"/>
    </row>
    <row r="80" spans="1:10" x14ac:dyDescent="0.25">
      <c r="A80" s="113" t="s">
        <v>63</v>
      </c>
      <c r="B80" s="38" t="s">
        <v>65</v>
      </c>
      <c r="C80" s="114">
        <v>20</v>
      </c>
      <c r="D80" s="39"/>
      <c r="E80" s="109">
        <v>4</v>
      </c>
      <c r="F80" s="66"/>
      <c r="G80" s="19"/>
      <c r="H80" s="19"/>
    </row>
    <row r="81" spans="1:10" x14ac:dyDescent="0.25">
      <c r="A81" s="113" t="s">
        <v>64</v>
      </c>
      <c r="B81" s="38" t="s">
        <v>65</v>
      </c>
      <c r="C81" s="114">
        <v>17.5</v>
      </c>
      <c r="D81" s="39"/>
      <c r="E81" s="109">
        <v>3</v>
      </c>
      <c r="F81" s="67"/>
      <c r="H81" s="66"/>
      <c r="I81" s="19"/>
      <c r="J81" s="19"/>
    </row>
    <row r="82" spans="1:10" x14ac:dyDescent="0.25">
      <c r="A82" s="113" t="s">
        <v>56</v>
      </c>
      <c r="B82" s="38" t="s">
        <v>65</v>
      </c>
      <c r="C82" s="114">
        <v>115.9</v>
      </c>
      <c r="D82" s="39"/>
      <c r="E82" s="109">
        <v>2</v>
      </c>
      <c r="F82" s="67"/>
      <c r="H82" s="66"/>
      <c r="I82" s="19"/>
      <c r="J82" s="19"/>
    </row>
    <row r="83" spans="1:10" x14ac:dyDescent="0.25">
      <c r="A83" s="113">
        <v>43709</v>
      </c>
      <c r="B83" s="38" t="s">
        <v>68</v>
      </c>
      <c r="C83" s="114">
        <f>346.8</f>
        <v>346.8</v>
      </c>
      <c r="D83" s="66"/>
      <c r="E83" s="109">
        <v>1</v>
      </c>
      <c r="F83" s="67"/>
      <c r="H83" s="66"/>
      <c r="I83" s="19"/>
      <c r="J83" s="19"/>
    </row>
    <row r="84" spans="1:10" x14ac:dyDescent="0.25">
      <c r="B84" s="64"/>
      <c r="C84" s="105"/>
      <c r="D84" s="66"/>
      <c r="E84" s="144"/>
      <c r="F84" s="67"/>
      <c r="H84" s="66"/>
      <c r="I84" s="19"/>
      <c r="J84" s="19"/>
    </row>
    <row r="85" spans="1:10" x14ac:dyDescent="0.25">
      <c r="B85" s="64"/>
      <c r="C85" s="105"/>
      <c r="D85" s="66"/>
      <c r="E85" s="144"/>
      <c r="F85" s="67"/>
      <c r="H85" s="66"/>
      <c r="I85" s="19"/>
      <c r="J85" s="19"/>
    </row>
    <row r="86" spans="1:10" x14ac:dyDescent="0.25">
      <c r="B86" s="64"/>
      <c r="C86" s="105"/>
      <c r="D86" s="66"/>
      <c r="E86" s="144"/>
      <c r="F86" s="67"/>
      <c r="H86" s="66"/>
      <c r="I86" s="19"/>
      <c r="J86" s="19"/>
    </row>
    <row r="87" spans="1:10" x14ac:dyDescent="0.25">
      <c r="B87" s="64"/>
      <c r="C87" s="105"/>
      <c r="D87" s="66"/>
      <c r="E87" s="144"/>
      <c r="F87" s="67"/>
      <c r="H87" s="66"/>
      <c r="I87" s="19"/>
      <c r="J87" s="19"/>
    </row>
    <row r="88" spans="1:10" x14ac:dyDescent="0.25">
      <c r="B88" s="64"/>
      <c r="C88" s="105"/>
      <c r="D88" s="66"/>
      <c r="E88" s="144"/>
      <c r="F88" s="67"/>
      <c r="H88" s="66"/>
      <c r="I88" s="19"/>
      <c r="J88" s="19"/>
    </row>
    <row r="89" spans="1:10" x14ac:dyDescent="0.25">
      <c r="B89" s="64"/>
      <c r="C89" s="105"/>
      <c r="D89" s="66"/>
      <c r="E89" s="144"/>
      <c r="F89" s="67"/>
      <c r="H89" s="66"/>
      <c r="I89" s="19"/>
      <c r="J89" s="19"/>
    </row>
    <row r="90" spans="1:10" x14ac:dyDescent="0.25">
      <c r="B90" s="64"/>
      <c r="C90" s="105"/>
      <c r="D90" s="66"/>
      <c r="E90" s="144"/>
      <c r="F90" s="67"/>
      <c r="H90" s="66"/>
      <c r="I90" s="19"/>
      <c r="J90" s="19"/>
    </row>
    <row r="91" spans="1:10" x14ac:dyDescent="0.25">
      <c r="B91" s="64"/>
      <c r="C91" s="105"/>
      <c r="D91" s="66"/>
      <c r="E91" s="144"/>
      <c r="F91" s="67"/>
      <c r="H91" s="66"/>
      <c r="I91" s="19"/>
      <c r="J91" s="19"/>
    </row>
    <row r="92" spans="1:10" x14ac:dyDescent="0.25">
      <c r="B92" s="64"/>
      <c r="C92" s="105"/>
      <c r="D92" s="66"/>
      <c r="E92" s="144"/>
      <c r="F92" s="67"/>
      <c r="H92" s="66"/>
      <c r="I92" s="19"/>
      <c r="J92" s="19"/>
    </row>
    <row r="93" spans="1:10" x14ac:dyDescent="0.25">
      <c r="B93" s="64"/>
      <c r="C93" s="105"/>
      <c r="D93" s="66"/>
      <c r="E93" s="144"/>
      <c r="F93" s="67"/>
      <c r="H93" s="66"/>
      <c r="I93" s="19"/>
      <c r="J93" s="19"/>
    </row>
    <row r="94" spans="1:10" x14ac:dyDescent="0.25">
      <c r="B94" s="64"/>
      <c r="C94" s="105"/>
      <c r="D94" s="66"/>
      <c r="E94" s="144"/>
      <c r="F94" s="67"/>
      <c r="H94" s="66"/>
      <c r="I94" s="19"/>
      <c r="J94" s="19"/>
    </row>
    <row r="95" spans="1:10" x14ac:dyDescent="0.25">
      <c r="B95" s="64"/>
      <c r="C95" s="105"/>
      <c r="D95" s="66"/>
      <c r="E95" s="144"/>
      <c r="F95" s="67"/>
      <c r="H95" s="66"/>
      <c r="I95" s="19"/>
      <c r="J95" s="19"/>
    </row>
    <row r="96" spans="1:10" x14ac:dyDescent="0.25">
      <c r="B96" s="64"/>
      <c r="C96" s="105"/>
      <c r="D96" s="66"/>
      <c r="E96" s="144"/>
      <c r="F96" s="67"/>
      <c r="H96" s="66"/>
      <c r="I96" s="19"/>
      <c r="J96" s="19"/>
    </row>
    <row r="97" spans="2:10" x14ac:dyDescent="0.25">
      <c r="B97" s="64"/>
      <c r="C97" s="105"/>
      <c r="D97" s="66"/>
      <c r="E97" s="144"/>
      <c r="F97" s="67"/>
      <c r="H97" s="66"/>
      <c r="I97" s="19"/>
      <c r="J97" s="19"/>
    </row>
    <row r="98" spans="2:10" x14ac:dyDescent="0.25">
      <c r="B98" s="64"/>
      <c r="C98" s="105"/>
      <c r="D98" s="66"/>
      <c r="E98" s="144"/>
      <c r="F98" s="67"/>
      <c r="H98" s="66"/>
      <c r="I98" s="19"/>
      <c r="J98" s="19"/>
    </row>
    <row r="99" spans="2:10" x14ac:dyDescent="0.25">
      <c r="B99" s="64"/>
      <c r="C99" s="105"/>
      <c r="D99" s="66"/>
      <c r="E99" s="144"/>
      <c r="F99" s="67"/>
      <c r="H99" s="66"/>
      <c r="I99" s="19"/>
      <c r="J99" s="19"/>
    </row>
    <row r="100" spans="2:10" x14ac:dyDescent="0.25">
      <c r="B100" s="64"/>
      <c r="C100" s="105"/>
      <c r="D100" s="66"/>
      <c r="E100" s="144"/>
      <c r="F100" s="67"/>
      <c r="H100" s="66"/>
      <c r="I100" s="19"/>
      <c r="J100" s="19"/>
    </row>
    <row r="101" spans="2:10" x14ac:dyDescent="0.25">
      <c r="B101" s="64"/>
      <c r="C101" s="105"/>
      <c r="D101" s="66"/>
      <c r="E101" s="144"/>
      <c r="F101" s="67"/>
      <c r="H101" s="66"/>
      <c r="I101" s="19"/>
      <c r="J101" s="19"/>
    </row>
    <row r="102" spans="2:10" x14ac:dyDescent="0.25">
      <c r="B102" s="64"/>
      <c r="C102" s="105"/>
      <c r="D102" s="66"/>
      <c r="E102" s="144"/>
      <c r="F102" s="67"/>
      <c r="H102" s="66"/>
      <c r="I102" s="19"/>
      <c r="J102" s="19"/>
    </row>
    <row r="103" spans="2:10" x14ac:dyDescent="0.25">
      <c r="B103" s="64"/>
      <c r="C103" s="105"/>
      <c r="D103" s="66"/>
      <c r="E103" s="144"/>
      <c r="F103" s="67"/>
      <c r="H103" s="66"/>
      <c r="I103" s="19"/>
      <c r="J103" s="19"/>
    </row>
    <row r="104" spans="2:10" x14ac:dyDescent="0.25">
      <c r="B104" s="64"/>
      <c r="C104" s="105"/>
      <c r="D104" s="66"/>
      <c r="E104" s="144"/>
      <c r="F104" s="67"/>
      <c r="H104" s="66"/>
      <c r="I104" s="19"/>
      <c r="J104" s="19"/>
    </row>
    <row r="105" spans="2:10" x14ac:dyDescent="0.25">
      <c r="B105" s="64"/>
      <c r="C105" s="105"/>
      <c r="D105" s="66"/>
      <c r="E105" s="144"/>
      <c r="F105" s="67"/>
      <c r="H105" s="66"/>
      <c r="I105" s="19"/>
      <c r="J105" s="19"/>
    </row>
    <row r="106" spans="2:10" x14ac:dyDescent="0.25">
      <c r="B106" s="64"/>
      <c r="C106" s="105"/>
      <c r="D106" s="66"/>
      <c r="E106" s="144"/>
      <c r="F106" s="67"/>
      <c r="H106" s="66"/>
      <c r="I106" s="19"/>
      <c r="J106" s="19"/>
    </row>
    <row r="107" spans="2:10" x14ac:dyDescent="0.25">
      <c r="B107" s="64"/>
      <c r="C107" s="105"/>
      <c r="D107" s="66"/>
      <c r="E107" s="144"/>
      <c r="F107" s="67"/>
      <c r="H107" s="66"/>
      <c r="I107" s="19"/>
      <c r="J107" s="19"/>
    </row>
    <row r="108" spans="2:10" x14ac:dyDescent="0.25">
      <c r="B108" s="64"/>
      <c r="C108" s="105"/>
      <c r="D108" s="66"/>
      <c r="E108" s="144"/>
      <c r="F108" s="67"/>
      <c r="H108" s="66"/>
      <c r="I108" s="19"/>
      <c r="J108" s="19"/>
    </row>
    <row r="109" spans="2:10" x14ac:dyDescent="0.25">
      <c r="B109" s="64"/>
      <c r="C109" s="105"/>
      <c r="D109" s="66"/>
      <c r="E109" s="144"/>
      <c r="F109" s="67"/>
      <c r="H109" s="66"/>
      <c r="I109" s="19"/>
      <c r="J109" s="19"/>
    </row>
    <row r="110" spans="2:10" x14ac:dyDescent="0.25">
      <c r="B110" s="64"/>
      <c r="C110" s="105"/>
      <c r="D110" s="66"/>
      <c r="E110" s="144"/>
      <c r="F110" s="67"/>
      <c r="H110" s="66"/>
      <c r="I110" s="19"/>
      <c r="J110" s="19"/>
    </row>
    <row r="111" spans="2:10" x14ac:dyDescent="0.25">
      <c r="B111" s="64"/>
      <c r="C111" s="105"/>
      <c r="D111" s="66"/>
      <c r="E111" s="144"/>
      <c r="F111" s="67"/>
      <c r="H111" s="66"/>
      <c r="I111" s="19"/>
      <c r="J111" s="19"/>
    </row>
    <row r="112" spans="2:10" x14ac:dyDescent="0.25">
      <c r="B112" s="64"/>
      <c r="C112" s="105"/>
      <c r="D112" s="66"/>
      <c r="E112" s="144"/>
      <c r="F112" s="67"/>
      <c r="H112" s="66"/>
      <c r="I112" s="19"/>
      <c r="J112" s="19"/>
    </row>
    <row r="113" spans="2:10" x14ac:dyDescent="0.25">
      <c r="B113" s="64"/>
      <c r="C113" s="105"/>
      <c r="D113" s="66"/>
      <c r="E113" s="144"/>
      <c r="F113" s="67"/>
      <c r="H113" s="66"/>
      <c r="I113" s="19"/>
      <c r="J113" s="19"/>
    </row>
    <row r="114" spans="2:10" x14ac:dyDescent="0.25">
      <c r="B114" s="64"/>
      <c r="C114" s="105"/>
      <c r="D114" s="66"/>
      <c r="E114" s="144"/>
      <c r="F114" s="67"/>
      <c r="H114" s="66"/>
      <c r="I114" s="19"/>
      <c r="J114" s="19"/>
    </row>
    <row r="115" spans="2:10" x14ac:dyDescent="0.25">
      <c r="B115" s="64"/>
      <c r="C115" s="105"/>
      <c r="D115" s="66"/>
      <c r="E115" s="144"/>
      <c r="F115" s="67"/>
      <c r="H115" s="66"/>
      <c r="I115" s="19"/>
      <c r="J115" s="19"/>
    </row>
    <row r="116" spans="2:10" x14ac:dyDescent="0.25">
      <c r="B116" s="64"/>
      <c r="C116" s="105"/>
      <c r="D116" s="66"/>
      <c r="E116" s="144"/>
      <c r="F116" s="67"/>
      <c r="H116" s="66"/>
      <c r="I116" s="19"/>
      <c r="J116" s="19"/>
    </row>
    <row r="117" spans="2:10" x14ac:dyDescent="0.25">
      <c r="B117" s="64"/>
      <c r="C117" s="105"/>
      <c r="D117" s="66"/>
      <c r="E117" s="144"/>
      <c r="F117" s="67"/>
      <c r="H117" s="66"/>
      <c r="I117" s="19"/>
      <c r="J117" s="19"/>
    </row>
    <row r="118" spans="2:10" x14ac:dyDescent="0.25">
      <c r="B118" s="64"/>
      <c r="C118" s="105"/>
      <c r="D118" s="66"/>
      <c r="E118" s="144"/>
      <c r="F118" s="67"/>
      <c r="H118" s="66"/>
      <c r="I118" s="19"/>
      <c r="J118" s="19"/>
    </row>
    <row r="119" spans="2:10" x14ac:dyDescent="0.25">
      <c r="B119" s="64"/>
      <c r="C119" s="105"/>
      <c r="D119" s="66"/>
      <c r="E119" s="144"/>
      <c r="F119" s="67"/>
      <c r="H119" s="66"/>
      <c r="I119" s="19"/>
      <c r="J119" s="19"/>
    </row>
    <row r="120" spans="2:10" x14ac:dyDescent="0.25">
      <c r="B120" s="64"/>
      <c r="C120" s="105"/>
      <c r="D120" s="66"/>
      <c r="E120" s="144"/>
      <c r="F120" s="67"/>
      <c r="H120" s="66"/>
      <c r="I120" s="19"/>
      <c r="J120" s="19"/>
    </row>
    <row r="121" spans="2:10" x14ac:dyDescent="0.25">
      <c r="B121" s="64"/>
      <c r="C121" s="105"/>
      <c r="D121" s="66"/>
      <c r="E121" s="144"/>
      <c r="F121" s="67"/>
      <c r="H121" s="66"/>
      <c r="I121" s="19"/>
      <c r="J121" s="19"/>
    </row>
    <row r="122" spans="2:10" x14ac:dyDescent="0.25">
      <c r="B122" s="64"/>
      <c r="C122" s="105"/>
      <c r="D122" s="66"/>
      <c r="E122" s="144"/>
      <c r="F122" s="67"/>
      <c r="H122" s="66"/>
      <c r="I122" s="19"/>
      <c r="J122" s="19"/>
    </row>
    <row r="123" spans="2:10" x14ac:dyDescent="0.25">
      <c r="B123" s="64"/>
      <c r="C123" s="105"/>
      <c r="D123" s="66"/>
      <c r="E123" s="144"/>
      <c r="F123" s="67"/>
      <c r="H123" s="66"/>
      <c r="I123" s="19"/>
      <c r="J123" s="19"/>
    </row>
    <row r="124" spans="2:10" x14ac:dyDescent="0.25">
      <c r="B124" s="64"/>
      <c r="C124" s="105"/>
      <c r="D124" s="66"/>
      <c r="E124" s="144"/>
      <c r="F124" s="67"/>
      <c r="H124" s="66"/>
      <c r="I124" s="19"/>
      <c r="J124" s="19"/>
    </row>
    <row r="125" spans="2:10" x14ac:dyDescent="0.25">
      <c r="B125" s="64"/>
      <c r="C125" s="105"/>
      <c r="D125" s="66"/>
      <c r="E125" s="144"/>
      <c r="F125" s="67"/>
      <c r="H125" s="66"/>
      <c r="I125" s="19"/>
      <c r="J125" s="19"/>
    </row>
    <row r="126" spans="2:10" x14ac:dyDescent="0.25">
      <c r="B126" s="64"/>
      <c r="C126" s="105"/>
      <c r="D126" s="66"/>
      <c r="E126" s="144"/>
      <c r="F126" s="67"/>
      <c r="H126" s="66"/>
      <c r="I126" s="19"/>
      <c r="J126" s="19"/>
    </row>
    <row r="127" spans="2:10" x14ac:dyDescent="0.25">
      <c r="B127" s="64"/>
      <c r="C127" s="105"/>
      <c r="D127" s="66"/>
      <c r="E127" s="144"/>
      <c r="F127" s="67"/>
      <c r="H127" s="66"/>
      <c r="I127" s="19"/>
      <c r="J127" s="19"/>
    </row>
    <row r="128" spans="2:10" x14ac:dyDescent="0.25">
      <c r="B128" s="64"/>
      <c r="C128" s="105"/>
      <c r="D128" s="66"/>
      <c r="E128" s="144"/>
      <c r="F128" s="67"/>
      <c r="H128" s="66"/>
      <c r="I128" s="19"/>
      <c r="J128" s="19"/>
    </row>
    <row r="129" spans="2:10" x14ac:dyDescent="0.25">
      <c r="B129" s="64"/>
      <c r="C129" s="105"/>
      <c r="D129" s="66"/>
      <c r="E129" s="144"/>
      <c r="F129" s="67"/>
      <c r="H129" s="66"/>
      <c r="I129" s="19"/>
      <c r="J129" s="19"/>
    </row>
    <row r="130" spans="2:10" x14ac:dyDescent="0.25">
      <c r="B130" s="64"/>
      <c r="C130" s="105"/>
      <c r="D130" s="66"/>
      <c r="E130" s="144"/>
      <c r="F130" s="67"/>
      <c r="H130" s="66"/>
      <c r="I130" s="19"/>
      <c r="J130" s="19"/>
    </row>
    <row r="131" spans="2:10" x14ac:dyDescent="0.25">
      <c r="B131" s="64"/>
      <c r="C131" s="105"/>
      <c r="D131" s="66"/>
      <c r="E131" s="144"/>
      <c r="F131" s="67"/>
      <c r="H131" s="66"/>
      <c r="I131" s="19"/>
      <c r="J131" s="19"/>
    </row>
    <row r="132" spans="2:10" x14ac:dyDescent="0.25">
      <c r="B132" s="64"/>
      <c r="C132" s="105"/>
      <c r="D132" s="66"/>
      <c r="E132" s="144"/>
      <c r="F132" s="67"/>
      <c r="H132" s="66"/>
      <c r="I132" s="19"/>
      <c r="J132" s="19"/>
    </row>
    <row r="133" spans="2:10" x14ac:dyDescent="0.25">
      <c r="B133" s="64"/>
      <c r="C133" s="105"/>
      <c r="D133" s="66"/>
      <c r="E133" s="144"/>
      <c r="F133" s="67"/>
      <c r="H133" s="66"/>
      <c r="I133" s="19"/>
      <c r="J133" s="19"/>
    </row>
    <row r="134" spans="2:10" x14ac:dyDescent="0.25">
      <c r="B134" s="64"/>
      <c r="C134" s="105"/>
      <c r="D134" s="66"/>
      <c r="E134" s="144"/>
      <c r="F134" s="67"/>
      <c r="H134" s="66"/>
      <c r="I134" s="19"/>
      <c r="J134" s="19"/>
    </row>
    <row r="135" spans="2:10" x14ac:dyDescent="0.25">
      <c r="B135" s="64"/>
      <c r="C135" s="105"/>
      <c r="D135" s="66"/>
      <c r="E135" s="144"/>
      <c r="F135" s="67"/>
      <c r="H135" s="66"/>
      <c r="I135" s="19"/>
      <c r="J135" s="19"/>
    </row>
    <row r="136" spans="2:10" x14ac:dyDescent="0.25">
      <c r="B136" s="64"/>
      <c r="C136" s="105"/>
      <c r="D136" s="66"/>
      <c r="E136" s="144"/>
      <c r="F136" s="67"/>
      <c r="H136" s="66"/>
      <c r="I136" s="19"/>
      <c r="J136" s="19"/>
    </row>
    <row r="137" spans="2:10" x14ac:dyDescent="0.25">
      <c r="B137" s="64"/>
      <c r="C137" s="105"/>
      <c r="D137" s="66"/>
      <c r="E137" s="144"/>
      <c r="F137" s="67"/>
      <c r="H137" s="66"/>
      <c r="I137" s="19"/>
      <c r="J137" s="19"/>
    </row>
    <row r="138" spans="2:10" x14ac:dyDescent="0.25">
      <c r="B138" s="64"/>
      <c r="C138" s="105"/>
      <c r="D138" s="66"/>
      <c r="E138" s="144"/>
      <c r="F138" s="67"/>
      <c r="H138" s="66"/>
      <c r="I138" s="19"/>
      <c r="J138" s="19"/>
    </row>
    <row r="139" spans="2:10" x14ac:dyDescent="0.25">
      <c r="B139" s="64"/>
      <c r="C139" s="105"/>
      <c r="D139" s="66"/>
      <c r="E139" s="144"/>
      <c r="F139" s="67"/>
      <c r="H139" s="66"/>
      <c r="I139" s="19"/>
      <c r="J139" s="19"/>
    </row>
    <row r="140" spans="2:10" x14ac:dyDescent="0.25">
      <c r="B140" s="64"/>
      <c r="C140" s="105"/>
      <c r="D140" s="66"/>
      <c r="E140" s="144"/>
      <c r="F140" s="67"/>
      <c r="H140" s="66"/>
      <c r="I140" s="19"/>
      <c r="J140" s="19"/>
    </row>
    <row r="141" spans="2:10" x14ac:dyDescent="0.25">
      <c r="B141" s="64"/>
      <c r="C141" s="105"/>
      <c r="D141" s="66"/>
      <c r="E141" s="144"/>
      <c r="F141" s="67"/>
      <c r="H141" s="66"/>
      <c r="I141" s="19"/>
      <c r="J141" s="19"/>
    </row>
    <row r="142" spans="2:10" x14ac:dyDescent="0.25">
      <c r="B142" s="64"/>
      <c r="C142" s="105"/>
      <c r="D142" s="66"/>
      <c r="E142" s="144"/>
      <c r="F142" s="67"/>
      <c r="H142" s="66"/>
      <c r="I142" s="19"/>
      <c r="J142" s="19"/>
    </row>
    <row r="143" spans="2:10" x14ac:dyDescent="0.25">
      <c r="B143" s="64"/>
      <c r="C143" s="105"/>
      <c r="D143" s="66"/>
      <c r="E143" s="144"/>
      <c r="F143" s="67"/>
      <c r="H143" s="66"/>
      <c r="I143" s="19"/>
      <c r="J143" s="19"/>
    </row>
    <row r="144" spans="2:10" x14ac:dyDescent="0.25">
      <c r="B144" s="64"/>
      <c r="C144" s="105"/>
      <c r="D144" s="66"/>
      <c r="E144" s="144"/>
      <c r="F144" s="67"/>
      <c r="H144" s="66"/>
      <c r="I144" s="19"/>
      <c r="J144" s="19"/>
    </row>
    <row r="145" spans="2:10" x14ac:dyDescent="0.25">
      <c r="B145" s="64"/>
      <c r="C145" s="105"/>
      <c r="D145" s="66"/>
      <c r="E145" s="144"/>
      <c r="F145" s="67"/>
      <c r="H145" s="66"/>
      <c r="I145" s="19"/>
      <c r="J145" s="19"/>
    </row>
    <row r="146" spans="2:10" x14ac:dyDescent="0.25">
      <c r="B146" s="64"/>
      <c r="C146" s="105"/>
      <c r="D146" s="66"/>
      <c r="E146" s="144"/>
      <c r="F146" s="67"/>
      <c r="H146" s="66"/>
      <c r="I146" s="19"/>
      <c r="J146" s="19"/>
    </row>
    <row r="147" spans="2:10" x14ac:dyDescent="0.25">
      <c r="B147" s="64"/>
      <c r="C147" s="105"/>
      <c r="D147" s="66"/>
      <c r="E147" s="144"/>
      <c r="F147" s="67"/>
      <c r="H147" s="66"/>
      <c r="I147" s="19"/>
      <c r="J147" s="19"/>
    </row>
    <row r="148" spans="2:10" x14ac:dyDescent="0.25">
      <c r="B148" s="64"/>
      <c r="C148" s="105"/>
      <c r="D148" s="66"/>
      <c r="E148" s="144"/>
      <c r="F148" s="67"/>
      <c r="H148" s="66"/>
      <c r="I148" s="19"/>
      <c r="J148" s="19"/>
    </row>
    <row r="149" spans="2:10" x14ac:dyDescent="0.25">
      <c r="B149" s="64"/>
      <c r="C149" s="105"/>
      <c r="D149" s="66"/>
      <c r="E149" s="144"/>
      <c r="F149" s="67"/>
      <c r="H149" s="66"/>
      <c r="I149" s="19"/>
      <c r="J149" s="19"/>
    </row>
    <row r="150" spans="2:10" x14ac:dyDescent="0.25">
      <c r="B150" s="64"/>
      <c r="C150" s="105"/>
      <c r="D150" s="66"/>
      <c r="E150" s="144"/>
      <c r="F150" s="67"/>
      <c r="H150" s="66"/>
      <c r="I150" s="19"/>
      <c r="J150" s="19"/>
    </row>
    <row r="151" spans="2:10" x14ac:dyDescent="0.25">
      <c r="B151" s="64"/>
      <c r="C151" s="105"/>
      <c r="D151" s="66"/>
      <c r="E151" s="144"/>
      <c r="F151" s="67"/>
      <c r="H151" s="66"/>
      <c r="I151" s="19"/>
      <c r="J151" s="19"/>
    </row>
    <row r="152" spans="2:10" x14ac:dyDescent="0.25">
      <c r="B152" s="64"/>
      <c r="C152" s="105"/>
      <c r="D152" s="66"/>
      <c r="E152" s="144"/>
      <c r="F152" s="67"/>
      <c r="H152" s="66"/>
      <c r="I152" s="19"/>
      <c r="J152" s="19"/>
    </row>
    <row r="153" spans="2:10" x14ac:dyDescent="0.25">
      <c r="B153" s="64"/>
      <c r="C153" s="105"/>
      <c r="D153" s="66"/>
      <c r="E153" s="144"/>
      <c r="F153" s="67"/>
      <c r="H153" s="66"/>
      <c r="I153" s="19"/>
      <c r="J153" s="19"/>
    </row>
    <row r="154" spans="2:10" x14ac:dyDescent="0.25">
      <c r="B154" s="64"/>
      <c r="C154" s="105"/>
      <c r="D154" s="66"/>
      <c r="E154" s="144"/>
      <c r="F154" s="67"/>
      <c r="H154" s="66"/>
      <c r="I154" s="19"/>
      <c r="J154" s="19"/>
    </row>
    <row r="155" spans="2:10" x14ac:dyDescent="0.25">
      <c r="B155" s="64"/>
      <c r="C155" s="105"/>
      <c r="D155" s="66"/>
      <c r="E155" s="144"/>
      <c r="F155" s="67"/>
      <c r="H155" s="66"/>
      <c r="I155" s="19"/>
      <c r="J155" s="19"/>
    </row>
    <row r="156" spans="2:10" x14ac:dyDescent="0.25">
      <c r="B156" s="64"/>
      <c r="C156" s="105"/>
      <c r="D156" s="66"/>
      <c r="E156" s="144"/>
      <c r="F156" s="67"/>
      <c r="H156" s="66"/>
      <c r="I156" s="19"/>
      <c r="J156" s="19"/>
    </row>
    <row r="157" spans="2:10" x14ac:dyDescent="0.25">
      <c r="B157" s="64"/>
      <c r="C157" s="105"/>
      <c r="D157" s="66"/>
      <c r="E157" s="144"/>
      <c r="F157" s="67"/>
      <c r="H157" s="66"/>
      <c r="I157" s="19"/>
      <c r="J157" s="19"/>
    </row>
    <row r="158" spans="2:10" x14ac:dyDescent="0.25">
      <c r="B158" s="64"/>
      <c r="C158" s="105"/>
      <c r="D158" s="66"/>
      <c r="E158" s="144"/>
      <c r="F158" s="67"/>
      <c r="H158" s="66"/>
      <c r="I158" s="19"/>
      <c r="J158" s="19"/>
    </row>
    <row r="159" spans="2:10" x14ac:dyDescent="0.25">
      <c r="B159" s="64"/>
      <c r="C159" s="105"/>
      <c r="D159" s="66"/>
      <c r="E159" s="144"/>
      <c r="F159" s="67"/>
      <c r="H159" s="66"/>
      <c r="I159" s="19"/>
      <c r="J159" s="19"/>
    </row>
    <row r="160" spans="2:10" x14ac:dyDescent="0.25">
      <c r="B160" s="64"/>
      <c r="C160" s="105"/>
      <c r="D160" s="66"/>
      <c r="E160" s="144"/>
      <c r="F160" s="67"/>
      <c r="H160" s="66"/>
      <c r="I160" s="19"/>
      <c r="J160" s="19"/>
    </row>
    <row r="161" spans="2:10" x14ac:dyDescent="0.25">
      <c r="B161" s="64"/>
      <c r="C161" s="105"/>
      <c r="D161" s="66"/>
      <c r="E161" s="144"/>
      <c r="F161" s="67"/>
      <c r="H161" s="66"/>
      <c r="I161" s="19"/>
      <c r="J161" s="19"/>
    </row>
    <row r="162" spans="2:10" x14ac:dyDescent="0.25">
      <c r="B162" s="64"/>
      <c r="C162" s="105"/>
      <c r="D162" s="66"/>
      <c r="E162" s="144"/>
      <c r="F162" s="67"/>
      <c r="H162" s="66"/>
      <c r="I162" s="19"/>
      <c r="J162" s="19"/>
    </row>
    <row r="163" spans="2:10" x14ac:dyDescent="0.25">
      <c r="B163" s="64"/>
      <c r="C163" s="105"/>
      <c r="D163" s="66"/>
      <c r="E163" s="144"/>
      <c r="F163" s="67"/>
      <c r="H163" s="66"/>
      <c r="I163" s="19"/>
      <c r="J163" s="19"/>
    </row>
    <row r="164" spans="2:10" x14ac:dyDescent="0.25">
      <c r="B164" s="64"/>
      <c r="C164" s="105"/>
      <c r="D164" s="66"/>
      <c r="E164" s="144"/>
      <c r="F164" s="67"/>
      <c r="H164" s="66"/>
      <c r="I164" s="19"/>
      <c r="J164" s="19"/>
    </row>
    <row r="165" spans="2:10" x14ac:dyDescent="0.25">
      <c r="B165" s="64"/>
      <c r="C165" s="105"/>
      <c r="D165" s="66"/>
      <c r="E165" s="144"/>
      <c r="F165" s="67"/>
      <c r="H165" s="66"/>
      <c r="I165" s="19"/>
      <c r="J165" s="19"/>
    </row>
    <row r="166" spans="2:10" x14ac:dyDescent="0.25">
      <c r="B166" s="64"/>
      <c r="C166" s="105"/>
      <c r="D166" s="66"/>
      <c r="E166" s="144"/>
      <c r="F166" s="67"/>
      <c r="H166" s="66"/>
      <c r="I166" s="19"/>
      <c r="J166" s="19"/>
    </row>
    <row r="167" spans="2:10" x14ac:dyDescent="0.25">
      <c r="B167" s="64"/>
      <c r="C167" s="105"/>
      <c r="D167" s="66"/>
      <c r="E167" s="144"/>
      <c r="F167" s="67"/>
      <c r="H167" s="66"/>
      <c r="I167" s="19"/>
      <c r="J167" s="19"/>
    </row>
    <row r="168" spans="2:10" x14ac:dyDescent="0.25">
      <c r="B168" s="64"/>
      <c r="C168" s="105"/>
      <c r="D168" s="66"/>
      <c r="E168" s="144"/>
      <c r="F168" s="67"/>
      <c r="H168" s="66"/>
      <c r="I168" s="19"/>
      <c r="J168" s="19"/>
    </row>
    <row r="169" spans="2:10" x14ac:dyDescent="0.25">
      <c r="B169" s="64"/>
      <c r="C169" s="105"/>
      <c r="D169" s="66"/>
      <c r="E169" s="144"/>
      <c r="F169" s="67"/>
      <c r="H169" s="66"/>
      <c r="I169" s="19"/>
      <c r="J169" s="19"/>
    </row>
    <row r="170" spans="2:10" x14ac:dyDescent="0.25">
      <c r="B170" s="64"/>
      <c r="C170" s="105"/>
      <c r="D170" s="66"/>
      <c r="E170" s="144"/>
      <c r="F170" s="67"/>
      <c r="H170" s="66"/>
      <c r="I170" s="19"/>
      <c r="J170" s="19"/>
    </row>
    <row r="171" spans="2:10" x14ac:dyDescent="0.25">
      <c r="B171" s="64"/>
      <c r="C171" s="105"/>
      <c r="D171" s="66"/>
      <c r="E171" s="144"/>
      <c r="F171" s="67"/>
      <c r="H171" s="66"/>
      <c r="I171" s="19"/>
      <c r="J171" s="19"/>
    </row>
    <row r="172" spans="2:10" x14ac:dyDescent="0.25">
      <c r="B172" s="64"/>
      <c r="C172" s="105"/>
      <c r="D172" s="66"/>
      <c r="E172" s="144"/>
      <c r="F172" s="67"/>
      <c r="H172" s="66"/>
      <c r="I172" s="19"/>
      <c r="J172" s="19"/>
    </row>
    <row r="173" spans="2:10" x14ac:dyDescent="0.25">
      <c r="B173" s="64"/>
      <c r="C173" s="105"/>
      <c r="D173" s="66"/>
      <c r="E173" s="144"/>
      <c r="F173" s="67"/>
      <c r="H173" s="66"/>
      <c r="I173" s="19"/>
      <c r="J173" s="19"/>
    </row>
  </sheetData>
  <pageMargins left="0.7" right="0.7" top="0.75" bottom="0.75" header="0.3" footer="0.3"/>
  <pageSetup paperSize="0" orientation="portrait" horizontalDpi="203" verticalDpi="203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A1:F13"/>
  <sheetViews>
    <sheetView workbookViewId="0">
      <selection activeCell="O21" sqref="O21"/>
    </sheetView>
  </sheetViews>
  <sheetFormatPr baseColWidth="10" defaultColWidth="11.44140625" defaultRowHeight="13.2" x14ac:dyDescent="0.25"/>
  <cols>
    <col min="1" max="1" width="12.109375" style="26" bestFit="1" customWidth="1"/>
    <col min="2" max="16384" width="11.44140625" style="26"/>
  </cols>
  <sheetData>
    <row r="1" spans="1:6" s="25" customFormat="1" x14ac:dyDescent="0.25">
      <c r="A1" s="3" t="s">
        <v>25</v>
      </c>
      <c r="B1" s="3" t="s">
        <v>205</v>
      </c>
      <c r="C1" s="3" t="s">
        <v>206</v>
      </c>
      <c r="D1" s="3"/>
      <c r="E1" s="3"/>
      <c r="F1" s="3"/>
    </row>
    <row r="2" spans="1:6" x14ac:dyDescent="0.25">
      <c r="A2" s="4" t="s">
        <v>207</v>
      </c>
      <c r="B2" s="4" t="s">
        <v>208</v>
      </c>
      <c r="C2" s="4" t="s">
        <v>209</v>
      </c>
      <c r="D2" s="4"/>
      <c r="E2" s="4"/>
      <c r="F2" s="4"/>
    </row>
    <row r="3" spans="1:6" x14ac:dyDescent="0.25">
      <c r="A3" s="4" t="s">
        <v>248</v>
      </c>
      <c r="B3" s="4" t="s">
        <v>247</v>
      </c>
      <c r="C3" s="4" t="s">
        <v>247</v>
      </c>
      <c r="D3" s="4"/>
      <c r="E3" s="4"/>
      <c r="F3" s="4"/>
    </row>
    <row r="4" spans="1:6" x14ac:dyDescent="0.25">
      <c r="A4" s="4" t="s">
        <v>45</v>
      </c>
      <c r="B4" s="4" t="s">
        <v>338</v>
      </c>
      <c r="C4" s="4" t="s">
        <v>338</v>
      </c>
      <c r="D4" s="4"/>
      <c r="E4" s="4"/>
      <c r="F4" s="4"/>
    </row>
    <row r="5" spans="1:6" x14ac:dyDescent="0.25">
      <c r="A5" s="4"/>
      <c r="B5" s="4"/>
      <c r="C5" s="4"/>
      <c r="D5" s="4"/>
      <c r="E5" s="4"/>
      <c r="F5" s="4"/>
    </row>
    <row r="6" spans="1:6" x14ac:dyDescent="0.25">
      <c r="A6" s="4"/>
      <c r="B6" s="4"/>
      <c r="C6" s="4"/>
      <c r="D6" s="4"/>
      <c r="E6" s="4"/>
      <c r="F6" s="4"/>
    </row>
    <row r="7" spans="1:6" x14ac:dyDescent="0.25">
      <c r="A7" s="4"/>
      <c r="B7" s="4"/>
      <c r="C7" s="4"/>
      <c r="D7" s="4"/>
      <c r="E7" s="4"/>
      <c r="F7" s="4"/>
    </row>
    <row r="8" spans="1:6" x14ac:dyDescent="0.25">
      <c r="A8" s="4"/>
      <c r="B8" s="4"/>
      <c r="C8" s="4"/>
      <c r="D8" s="4"/>
      <c r="E8" s="4"/>
      <c r="F8" s="4"/>
    </row>
    <row r="9" spans="1:6" x14ac:dyDescent="0.25">
      <c r="A9" s="4"/>
      <c r="B9" s="4"/>
      <c r="C9" s="4"/>
      <c r="D9" s="4"/>
      <c r="E9" s="4"/>
      <c r="F9" s="4"/>
    </row>
    <row r="10" spans="1:6" x14ac:dyDescent="0.25">
      <c r="A10" s="4"/>
      <c r="B10" s="4"/>
      <c r="C10" s="4"/>
      <c r="D10" s="4"/>
      <c r="E10" s="4"/>
      <c r="F10" s="4"/>
    </row>
    <row r="11" spans="1:6" x14ac:dyDescent="0.25">
      <c r="A11" s="4"/>
      <c r="B11" s="4"/>
      <c r="C11" s="4"/>
      <c r="D11" s="4"/>
      <c r="E11" s="4"/>
      <c r="F11" s="4"/>
    </row>
    <row r="12" spans="1:6" x14ac:dyDescent="0.25">
      <c r="A12" s="4"/>
      <c r="B12" s="4"/>
      <c r="C12" s="4"/>
      <c r="D12" s="4"/>
      <c r="E12" s="4"/>
      <c r="F12" s="4"/>
    </row>
    <row r="13" spans="1:6" x14ac:dyDescent="0.25">
      <c r="A13" s="107"/>
      <c r="B13" s="107"/>
      <c r="C13" s="107"/>
      <c r="D13" s="107"/>
      <c r="E13" s="107"/>
    </row>
  </sheetData>
  <pageMargins left="0.7" right="0.7" top="0.75" bottom="0.75" header="0.3" footer="0.3"/>
  <pageSetup paperSize="0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"/>
  <dimension ref="A1"/>
  <sheetViews>
    <sheetView showGridLines="0" showRowColHeaders="0" workbookViewId="0">
      <selection activeCell="C2" sqref="C2"/>
    </sheetView>
  </sheetViews>
  <sheetFormatPr baseColWidth="10" defaultRowHeight="13.2" x14ac:dyDescent="0.25"/>
  <sheetData/>
  <sheetProtection algorithmName="SHA-512" hashValue="QyqoUkVXUZZIfgmnl1kSEdwtswKDx4lPowdHLTKAEptPnHOw1JgHvQXatS/0BFZTGeeL7JaxZItL5wBvFB/7KQ==" saltValue="ZO20wyj1faB7Ba+plu1SxQ==" spinCount="100000" sheet="1" objects="1" scenario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L10"/>
  <sheetViews>
    <sheetView workbookViewId="0">
      <selection activeCell="A5" sqref="A5"/>
    </sheetView>
  </sheetViews>
  <sheetFormatPr baseColWidth="10" defaultRowHeight="13.2" x14ac:dyDescent="0.25"/>
  <cols>
    <col min="1" max="1" width="5" style="196" bestFit="1" customWidth="1"/>
    <col min="2" max="2" width="28" bestFit="1" customWidth="1"/>
    <col min="3" max="3" width="11.44140625" style="198"/>
    <col min="4" max="4" width="9" style="129" bestFit="1" customWidth="1"/>
    <col min="5" max="5" width="5.5546875" customWidth="1"/>
    <col min="6" max="6" width="14.33203125" bestFit="1" customWidth="1"/>
    <col min="7" max="7" width="6.5546875" customWidth="1"/>
    <col min="8" max="8" width="3.5546875" customWidth="1"/>
    <col min="9" max="9" width="17.5546875" bestFit="1" customWidth="1"/>
    <col min="10" max="10" width="12" style="129" customWidth="1"/>
    <col min="11" max="11" width="3.5546875" customWidth="1"/>
    <col min="12" max="12" width="7.44140625" customWidth="1"/>
  </cols>
  <sheetData>
    <row r="1" spans="1:12" x14ac:dyDescent="0.25">
      <c r="I1" s="3" t="s">
        <v>322</v>
      </c>
      <c r="J1" s="195">
        <f>'Cajachica'!H1</f>
        <v>1073.7299992084522</v>
      </c>
      <c r="L1">
        <v>2</v>
      </c>
    </row>
    <row r="2" spans="1:12" x14ac:dyDescent="0.25">
      <c r="I2" s="3" t="s">
        <v>323</v>
      </c>
      <c r="J2" s="195">
        <f>J1-SUM(D:D)</f>
        <v>573.72999920845223</v>
      </c>
    </row>
    <row r="3" spans="1:12" x14ac:dyDescent="0.25">
      <c r="I3" s="3" t="s">
        <v>329</v>
      </c>
      <c r="J3" s="195">
        <f>SUM(D:D)</f>
        <v>500</v>
      </c>
    </row>
    <row r="4" spans="1:12" x14ac:dyDescent="0.25">
      <c r="A4" s="196" t="s">
        <v>221</v>
      </c>
      <c r="B4" t="s">
        <v>330</v>
      </c>
      <c r="C4" s="198" t="s">
        <v>57</v>
      </c>
      <c r="D4" s="129" t="s">
        <v>331</v>
      </c>
    </row>
    <row r="5" spans="1:12" x14ac:dyDescent="0.25">
      <c r="A5" s="196">
        <v>1</v>
      </c>
      <c r="B5" t="s">
        <v>12</v>
      </c>
      <c r="C5" s="198" t="s">
        <v>332</v>
      </c>
      <c r="D5" s="129">
        <v>500</v>
      </c>
    </row>
    <row r="7" spans="1:12" x14ac:dyDescent="0.25">
      <c r="A7" s="197"/>
      <c r="B7" s="3"/>
      <c r="C7" s="161"/>
      <c r="D7" s="195"/>
    </row>
    <row r="10" spans="1:12" x14ac:dyDescent="0.25">
      <c r="I10" s="3"/>
      <c r="J10" s="195"/>
    </row>
  </sheetData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0"/>
  <dimension ref="A1:P97"/>
  <sheetViews>
    <sheetView workbookViewId="0">
      <selection activeCell="A2" sqref="A2"/>
    </sheetView>
  </sheetViews>
  <sheetFormatPr baseColWidth="10" defaultColWidth="11.44140625" defaultRowHeight="13.2" x14ac:dyDescent="0.25"/>
  <cols>
    <col min="1" max="1" width="11.33203125" style="132" bestFit="1" customWidth="1"/>
    <col min="2" max="2" width="28.6640625" style="48" bestFit="1" customWidth="1"/>
    <col min="3" max="3" width="11.6640625" style="138" customWidth="1"/>
    <col min="4" max="4" width="11.109375" style="115" customWidth="1"/>
    <col min="5" max="5" width="5" style="111" customWidth="1"/>
    <col min="6" max="6" width="5" style="49" customWidth="1"/>
    <col min="7" max="7" width="5.88671875" style="42" customWidth="1"/>
    <col min="8" max="8" width="10.33203125" style="42" customWidth="1"/>
    <col min="9" max="9" width="3.6640625" style="42" customWidth="1"/>
    <col min="10" max="10" width="17.109375" style="42" bestFit="1" customWidth="1"/>
    <col min="11" max="11" width="11" style="42" bestFit="1" customWidth="1"/>
    <col min="12" max="12" width="3" style="43" customWidth="1"/>
    <col min="13" max="13" width="11.44140625" style="43"/>
    <col min="14" max="14" width="2.44140625" style="43" customWidth="1"/>
    <col min="15" max="15" width="15.88671875" style="43" bestFit="1" customWidth="1"/>
    <col min="16" max="16384" width="11.44140625" style="43"/>
  </cols>
  <sheetData>
    <row r="1" spans="1:16" x14ac:dyDescent="0.25">
      <c r="A1" s="113" t="s">
        <v>57</v>
      </c>
      <c r="B1" s="38" t="s">
        <v>58</v>
      </c>
      <c r="C1" s="134" t="s">
        <v>60</v>
      </c>
      <c r="D1" s="116" t="s">
        <v>61</v>
      </c>
      <c r="E1" s="109" t="s">
        <v>221</v>
      </c>
      <c r="F1" s="41"/>
      <c r="G1" s="39" t="s">
        <v>59</v>
      </c>
      <c r="H1" s="39">
        <f>SUM(C1:C193)-SUM(D1:D193)</f>
        <v>921.47000793457073</v>
      </c>
      <c r="J1" s="39" t="s">
        <v>62</v>
      </c>
      <c r="K1" s="39">
        <f>H1+P1</f>
        <v>1495.200007143023</v>
      </c>
      <c r="M1" s="108">
        <v>86</v>
      </c>
      <c r="O1" s="39" t="s">
        <v>324</v>
      </c>
      <c r="P1" s="39">
        <f>Pendientes!J2</f>
        <v>573.72999920845223</v>
      </c>
    </row>
    <row r="2" spans="1:16" x14ac:dyDescent="0.25">
      <c r="A2" s="131" t="s">
        <v>333</v>
      </c>
      <c r="B2" s="121" t="s">
        <v>87</v>
      </c>
      <c r="C2" s="136">
        <v>102.1</v>
      </c>
      <c r="D2" s="122"/>
      <c r="E2" s="123">
        <v>86</v>
      </c>
      <c r="F2" s="41"/>
      <c r="G2" s="39"/>
      <c r="H2" s="39"/>
      <c r="J2" s="39"/>
      <c r="K2" s="39"/>
      <c r="M2" s="108"/>
      <c r="O2" s="39"/>
      <c r="P2" s="39"/>
    </row>
    <row r="3" spans="1:16" x14ac:dyDescent="0.25">
      <c r="A3" s="131" t="s">
        <v>327</v>
      </c>
      <c r="B3" s="121" t="s">
        <v>87</v>
      </c>
      <c r="C3" s="136">
        <v>16</v>
      </c>
      <c r="D3" s="122"/>
      <c r="E3" s="123">
        <v>85</v>
      </c>
      <c r="F3" s="41"/>
      <c r="G3" s="39"/>
      <c r="H3" s="39"/>
      <c r="J3" s="39"/>
      <c r="K3" s="39"/>
      <c r="M3" s="108"/>
      <c r="O3" s="39"/>
      <c r="P3" s="39"/>
    </row>
    <row r="4" spans="1:16" x14ac:dyDescent="0.25">
      <c r="A4" s="131">
        <v>43770</v>
      </c>
      <c r="B4" s="121" t="s">
        <v>328</v>
      </c>
      <c r="C4" s="136"/>
      <c r="D4" s="122">
        <v>96.8</v>
      </c>
      <c r="E4" s="123">
        <v>84</v>
      </c>
      <c r="F4" s="41"/>
      <c r="G4" s="39"/>
      <c r="H4" s="39"/>
      <c r="J4" s="39"/>
      <c r="K4" s="39"/>
      <c r="M4" s="108"/>
    </row>
    <row r="5" spans="1:16" x14ac:dyDescent="0.25">
      <c r="A5" s="131">
        <v>43769</v>
      </c>
      <c r="B5" s="121" t="s">
        <v>87</v>
      </c>
      <c r="C5" s="136">
        <v>253</v>
      </c>
      <c r="D5" s="122"/>
      <c r="E5" s="123">
        <v>83</v>
      </c>
      <c r="F5" s="41"/>
      <c r="G5" s="39"/>
      <c r="H5" s="39"/>
      <c r="J5" s="39"/>
      <c r="K5" s="39"/>
      <c r="M5" s="108"/>
    </row>
    <row r="6" spans="1:16" x14ac:dyDescent="0.25">
      <c r="A6" s="131" t="s">
        <v>320</v>
      </c>
      <c r="B6" s="121" t="s">
        <v>321</v>
      </c>
      <c r="C6" s="136"/>
      <c r="D6" s="122">
        <v>275.25</v>
      </c>
      <c r="E6" s="123">
        <v>82</v>
      </c>
      <c r="F6" s="41"/>
      <c r="G6" s="39"/>
      <c r="H6" s="39"/>
      <c r="M6" s="108"/>
    </row>
    <row r="7" spans="1:16" x14ac:dyDescent="0.25">
      <c r="A7" s="131" t="s">
        <v>317</v>
      </c>
      <c r="B7" s="121" t="s">
        <v>319</v>
      </c>
      <c r="C7" s="136"/>
      <c r="D7" s="122">
        <v>16.2</v>
      </c>
      <c r="E7" s="123">
        <v>81</v>
      </c>
      <c r="F7" s="41"/>
      <c r="G7" s="39"/>
      <c r="H7" s="39"/>
      <c r="J7" s="39"/>
      <c r="K7" s="39"/>
      <c r="M7" s="108"/>
    </row>
    <row r="8" spans="1:16" x14ac:dyDescent="0.25">
      <c r="A8" s="131" t="s">
        <v>317</v>
      </c>
      <c r="B8" s="121" t="s">
        <v>318</v>
      </c>
      <c r="C8" s="136"/>
      <c r="D8" s="122">
        <v>340.14</v>
      </c>
      <c r="E8" s="123">
        <v>80</v>
      </c>
      <c r="F8" s="41"/>
      <c r="G8" s="39"/>
      <c r="H8" s="39"/>
      <c r="J8" s="39"/>
      <c r="K8" s="39"/>
      <c r="M8" s="108"/>
    </row>
    <row r="9" spans="1:16" x14ac:dyDescent="0.25">
      <c r="A9" s="131" t="s">
        <v>316</v>
      </c>
      <c r="B9" s="121" t="s">
        <v>87</v>
      </c>
      <c r="C9" s="136">
        <v>126.5</v>
      </c>
      <c r="D9" s="122"/>
      <c r="E9" s="123">
        <v>79</v>
      </c>
      <c r="F9" s="41"/>
      <c r="G9" s="39"/>
      <c r="H9" s="39"/>
      <c r="J9" s="39"/>
      <c r="K9" s="39"/>
      <c r="M9" s="108"/>
    </row>
    <row r="10" spans="1:16" x14ac:dyDescent="0.25">
      <c r="A10" s="131" t="s">
        <v>316</v>
      </c>
      <c r="B10" s="121" t="s">
        <v>219</v>
      </c>
      <c r="C10" s="136"/>
      <c r="D10" s="122">
        <v>8.36</v>
      </c>
      <c r="E10" s="123">
        <v>78</v>
      </c>
      <c r="F10" s="41"/>
      <c r="G10" s="39"/>
      <c r="H10" s="39"/>
      <c r="J10" s="39"/>
      <c r="K10" s="39"/>
      <c r="M10" s="108"/>
    </row>
    <row r="11" spans="1:16" x14ac:dyDescent="0.25">
      <c r="A11" s="131" t="s">
        <v>315</v>
      </c>
      <c r="B11" s="121" t="s">
        <v>87</v>
      </c>
      <c r="C11" s="136">
        <v>15.6</v>
      </c>
      <c r="D11" s="122"/>
      <c r="E11" s="123">
        <v>77</v>
      </c>
      <c r="F11" s="41"/>
      <c r="G11" s="39"/>
      <c r="H11" s="39"/>
      <c r="J11" s="39"/>
      <c r="K11" s="39"/>
      <c r="M11" s="108"/>
    </row>
    <row r="12" spans="1:16" x14ac:dyDescent="0.25">
      <c r="A12" s="131" t="s">
        <v>314</v>
      </c>
      <c r="B12" s="121" t="s">
        <v>87</v>
      </c>
      <c r="C12" s="136">
        <v>177.9</v>
      </c>
      <c r="D12" s="122"/>
      <c r="E12" s="123">
        <v>76</v>
      </c>
      <c r="F12" s="41"/>
      <c r="G12" s="39"/>
      <c r="H12" s="39"/>
      <c r="J12" s="39"/>
      <c r="K12" s="39"/>
      <c r="M12" s="108"/>
    </row>
    <row r="13" spans="1:16" x14ac:dyDescent="0.25">
      <c r="A13" s="131" t="s">
        <v>309</v>
      </c>
      <c r="B13" s="121" t="s">
        <v>19</v>
      </c>
      <c r="C13" s="136"/>
      <c r="D13" s="122">
        <v>5.0999999999999996</v>
      </c>
      <c r="E13" s="123">
        <v>75</v>
      </c>
      <c r="F13" s="41"/>
      <c r="G13" s="39"/>
      <c r="H13" s="39"/>
      <c r="J13" s="39"/>
      <c r="K13" s="39"/>
      <c r="M13" s="108"/>
    </row>
    <row r="14" spans="1:16" x14ac:dyDescent="0.25">
      <c r="A14" s="131" t="s">
        <v>309</v>
      </c>
      <c r="B14" s="121" t="s">
        <v>219</v>
      </c>
      <c r="C14" s="136"/>
      <c r="D14" s="122">
        <v>7.7</v>
      </c>
      <c r="E14" s="123">
        <v>74</v>
      </c>
      <c r="F14" s="41"/>
      <c r="G14" s="39"/>
      <c r="H14" s="39"/>
      <c r="J14" s="39"/>
      <c r="K14" s="39"/>
      <c r="M14" s="108"/>
    </row>
    <row r="15" spans="1:16" x14ac:dyDescent="0.25">
      <c r="A15" s="131" t="s">
        <v>309</v>
      </c>
      <c r="B15" s="121" t="s">
        <v>87</v>
      </c>
      <c r="C15" s="136">
        <v>72.5</v>
      </c>
      <c r="D15" s="122"/>
      <c r="E15" s="123">
        <v>73</v>
      </c>
      <c r="F15" s="41"/>
      <c r="G15" s="39"/>
      <c r="H15" s="39"/>
      <c r="J15" s="39"/>
      <c r="K15" s="39"/>
      <c r="M15" s="108"/>
    </row>
    <row r="16" spans="1:16" x14ac:dyDescent="0.25">
      <c r="A16" s="131">
        <v>43763</v>
      </c>
      <c r="B16" s="121" t="s">
        <v>311</v>
      </c>
      <c r="C16" s="136"/>
      <c r="D16" s="122">
        <v>3.91</v>
      </c>
      <c r="E16" s="123">
        <v>72</v>
      </c>
      <c r="F16" s="41"/>
      <c r="G16" s="39"/>
      <c r="H16" s="39"/>
      <c r="J16" s="39"/>
      <c r="K16" s="39"/>
      <c r="M16" s="108"/>
    </row>
    <row r="17" spans="1:13" x14ac:dyDescent="0.25">
      <c r="A17" s="131" t="s">
        <v>310</v>
      </c>
      <c r="B17" s="121" t="s">
        <v>87</v>
      </c>
      <c r="C17" s="136">
        <v>31.1</v>
      </c>
      <c r="D17" s="122"/>
      <c r="E17" s="123">
        <v>71</v>
      </c>
      <c r="F17" s="41"/>
      <c r="G17" s="39"/>
      <c r="H17" s="39"/>
      <c r="J17" s="39"/>
      <c r="K17" s="39"/>
      <c r="M17" s="108"/>
    </row>
    <row r="18" spans="1:13" x14ac:dyDescent="0.25">
      <c r="A18" s="131" t="s">
        <v>306</v>
      </c>
      <c r="B18" s="121" t="s">
        <v>308</v>
      </c>
      <c r="C18" s="136"/>
      <c r="D18" s="122">
        <v>124.97</v>
      </c>
      <c r="E18" s="123">
        <v>70</v>
      </c>
      <c r="F18" s="41"/>
      <c r="G18" s="39"/>
      <c r="H18" s="39"/>
      <c r="J18" s="39"/>
      <c r="K18" s="39"/>
      <c r="M18" s="108"/>
    </row>
    <row r="19" spans="1:13" x14ac:dyDescent="0.25">
      <c r="A19" s="131" t="s">
        <v>306</v>
      </c>
      <c r="B19" s="121" t="s">
        <v>198</v>
      </c>
      <c r="C19" s="136">
        <v>10</v>
      </c>
      <c r="D19" s="122"/>
      <c r="E19" s="123">
        <v>69</v>
      </c>
      <c r="F19" s="41"/>
      <c r="G19" s="39"/>
      <c r="H19" s="39"/>
      <c r="J19" s="39"/>
      <c r="K19" s="39"/>
      <c r="M19" s="108"/>
    </row>
    <row r="20" spans="1:13" x14ac:dyDescent="0.25">
      <c r="A20" s="131">
        <v>43758</v>
      </c>
      <c r="B20" s="121" t="s">
        <v>87</v>
      </c>
      <c r="C20" s="136">
        <v>93.5</v>
      </c>
      <c r="D20" s="122"/>
      <c r="E20" s="123">
        <v>68</v>
      </c>
      <c r="F20" s="41"/>
      <c r="G20" s="39"/>
      <c r="H20" s="39"/>
      <c r="J20" s="39"/>
      <c r="K20" s="39"/>
      <c r="M20" s="108"/>
    </row>
    <row r="21" spans="1:13" x14ac:dyDescent="0.25">
      <c r="A21" s="131">
        <v>43758</v>
      </c>
      <c r="B21" s="121" t="s">
        <v>303</v>
      </c>
      <c r="C21" s="136"/>
      <c r="D21" s="122">
        <v>10</v>
      </c>
      <c r="E21" s="123">
        <v>67</v>
      </c>
      <c r="F21" s="41"/>
      <c r="G21" s="39"/>
      <c r="H21" s="39"/>
      <c r="J21" s="39"/>
      <c r="K21" s="39"/>
      <c r="M21" s="108"/>
    </row>
    <row r="22" spans="1:13" x14ac:dyDescent="0.25">
      <c r="A22" s="131" t="s">
        <v>299</v>
      </c>
      <c r="B22" s="121" t="s">
        <v>87</v>
      </c>
      <c r="C22" s="136">
        <v>173</v>
      </c>
      <c r="D22" s="122"/>
      <c r="E22" s="123">
        <v>66</v>
      </c>
      <c r="F22" s="41"/>
      <c r="G22" s="39"/>
      <c r="H22" s="39"/>
      <c r="J22" s="39"/>
      <c r="K22" s="39"/>
      <c r="M22" s="108"/>
    </row>
    <row r="23" spans="1:13" x14ac:dyDescent="0.25">
      <c r="A23" s="131">
        <v>43756</v>
      </c>
      <c r="B23" s="121" t="s">
        <v>87</v>
      </c>
      <c r="C23" s="135">
        <v>111.3</v>
      </c>
      <c r="D23" s="122"/>
      <c r="E23" s="123">
        <v>65</v>
      </c>
      <c r="F23" s="41"/>
      <c r="G23" s="39"/>
      <c r="H23" s="39"/>
      <c r="J23" s="39"/>
      <c r="K23" s="39"/>
      <c r="M23" s="108"/>
    </row>
    <row r="24" spans="1:13" x14ac:dyDescent="0.25">
      <c r="A24" s="131" t="s">
        <v>289</v>
      </c>
      <c r="B24" s="121" t="s">
        <v>87</v>
      </c>
      <c r="C24" s="136">
        <v>8</v>
      </c>
      <c r="D24" s="122"/>
      <c r="E24" s="123">
        <v>64</v>
      </c>
      <c r="F24" s="41"/>
      <c r="G24" s="39"/>
      <c r="H24" s="39"/>
      <c r="J24" s="39"/>
      <c r="K24" s="39"/>
      <c r="M24" s="108"/>
    </row>
    <row r="25" spans="1:13" x14ac:dyDescent="0.25">
      <c r="A25" s="131" t="s">
        <v>289</v>
      </c>
      <c r="B25" s="121" t="s">
        <v>15</v>
      </c>
      <c r="C25" s="136"/>
      <c r="D25" s="122">
        <v>54.840000152587891</v>
      </c>
      <c r="E25" s="123">
        <v>63</v>
      </c>
      <c r="F25" s="41"/>
      <c r="G25" s="39"/>
      <c r="H25" s="39"/>
      <c r="J25" s="39"/>
      <c r="K25" s="39"/>
      <c r="M25" s="108"/>
    </row>
    <row r="26" spans="1:13" x14ac:dyDescent="0.25">
      <c r="A26" s="131">
        <v>43754</v>
      </c>
      <c r="B26" s="121" t="s">
        <v>271</v>
      </c>
      <c r="C26" s="136"/>
      <c r="D26" s="133">
        <v>2.9</v>
      </c>
      <c r="E26" s="123">
        <v>62</v>
      </c>
      <c r="F26" s="41"/>
      <c r="G26" s="39"/>
      <c r="H26" s="39"/>
      <c r="J26" s="39"/>
      <c r="K26" s="39"/>
      <c r="M26" s="108"/>
    </row>
    <row r="27" spans="1:13" x14ac:dyDescent="0.25">
      <c r="A27" s="131" t="s">
        <v>261</v>
      </c>
      <c r="B27" s="121" t="s">
        <v>87</v>
      </c>
      <c r="C27" s="136">
        <v>26.299999237060547</v>
      </c>
      <c r="D27" s="122"/>
      <c r="E27" s="123">
        <v>61</v>
      </c>
      <c r="F27" s="41"/>
      <c r="G27" s="39"/>
      <c r="H27" s="39"/>
      <c r="J27" s="39"/>
      <c r="K27" s="39"/>
      <c r="M27" s="108"/>
    </row>
    <row r="28" spans="1:13" x14ac:dyDescent="0.25">
      <c r="A28" s="131" t="s">
        <v>255</v>
      </c>
      <c r="B28" s="121" t="s">
        <v>263</v>
      </c>
      <c r="C28" s="136"/>
      <c r="D28" s="122">
        <v>41.330001831054688</v>
      </c>
      <c r="E28" s="123">
        <v>60</v>
      </c>
      <c r="F28" s="41"/>
      <c r="G28" s="39"/>
      <c r="H28" s="39"/>
      <c r="J28" s="39"/>
      <c r="K28" s="39"/>
      <c r="M28" s="108"/>
    </row>
    <row r="29" spans="1:13" x14ac:dyDescent="0.25">
      <c r="A29" s="131" t="s">
        <v>261</v>
      </c>
      <c r="B29" s="121" t="s">
        <v>262</v>
      </c>
      <c r="C29" s="136"/>
      <c r="D29" s="122">
        <v>149.47999572753906</v>
      </c>
      <c r="E29" s="123">
        <v>59</v>
      </c>
      <c r="F29" s="41"/>
      <c r="G29" s="39"/>
      <c r="H29" s="39"/>
      <c r="J29" s="39"/>
      <c r="K29" s="39"/>
      <c r="M29" s="108"/>
    </row>
    <row r="30" spans="1:13" x14ac:dyDescent="0.25">
      <c r="A30" s="131" t="s">
        <v>260</v>
      </c>
      <c r="B30" s="121" t="s">
        <v>87</v>
      </c>
      <c r="C30" s="136">
        <v>96.300003051757813</v>
      </c>
      <c r="D30" s="122"/>
      <c r="E30" s="123">
        <v>58</v>
      </c>
      <c r="F30" s="41"/>
      <c r="G30" s="39"/>
      <c r="H30" s="39"/>
      <c r="J30" s="39"/>
      <c r="K30" s="39"/>
      <c r="M30" s="108"/>
    </row>
    <row r="31" spans="1:13" x14ac:dyDescent="0.25">
      <c r="A31" s="112" t="s">
        <v>256</v>
      </c>
      <c r="B31" s="45" t="s">
        <v>257</v>
      </c>
      <c r="C31" s="137">
        <v>64.900001525878906</v>
      </c>
      <c r="D31" s="117"/>
      <c r="E31" s="110">
        <v>57</v>
      </c>
      <c r="F31" s="41"/>
      <c r="G31" s="39"/>
      <c r="H31" s="39"/>
      <c r="J31" s="39"/>
      <c r="K31" s="39"/>
      <c r="M31" s="108"/>
    </row>
    <row r="32" spans="1:13" x14ac:dyDescent="0.25">
      <c r="A32" s="112" t="s">
        <v>255</v>
      </c>
      <c r="B32" s="45" t="s">
        <v>87</v>
      </c>
      <c r="C32" s="137">
        <v>57.799999237060547</v>
      </c>
      <c r="D32" s="117"/>
      <c r="E32" s="110">
        <v>56</v>
      </c>
      <c r="F32" s="41"/>
      <c r="G32" s="39"/>
      <c r="H32" s="39"/>
      <c r="J32" s="39"/>
      <c r="K32" s="39"/>
      <c r="M32" s="108"/>
    </row>
    <row r="33" spans="1:13" x14ac:dyDescent="0.25">
      <c r="A33" s="112" t="s">
        <v>255</v>
      </c>
      <c r="B33" s="45" t="s">
        <v>219</v>
      </c>
      <c r="C33" s="137"/>
      <c r="D33" s="117">
        <v>4.6599998474121094</v>
      </c>
      <c r="E33" s="110">
        <v>55</v>
      </c>
      <c r="F33" s="41"/>
      <c r="G33" s="39"/>
      <c r="H33" s="39"/>
      <c r="J33" s="39"/>
      <c r="K33" s="39"/>
      <c r="M33" s="108"/>
    </row>
    <row r="34" spans="1:13" x14ac:dyDescent="0.25">
      <c r="A34" s="112" t="s">
        <v>255</v>
      </c>
      <c r="B34" s="45" t="s">
        <v>82</v>
      </c>
      <c r="C34" s="137"/>
      <c r="D34" s="117">
        <v>114.52999877929688</v>
      </c>
      <c r="E34" s="110">
        <v>54</v>
      </c>
      <c r="F34" s="41"/>
      <c r="G34" s="39"/>
      <c r="H34" s="39"/>
      <c r="J34" s="39"/>
      <c r="K34" s="39"/>
      <c r="M34" s="108"/>
    </row>
    <row r="35" spans="1:13" x14ac:dyDescent="0.25">
      <c r="A35" s="112" t="s">
        <v>252</v>
      </c>
      <c r="B35" s="45" t="s">
        <v>253</v>
      </c>
      <c r="C35" s="137"/>
      <c r="D35" s="117">
        <v>475.02999877929688</v>
      </c>
      <c r="E35" s="110">
        <v>53</v>
      </c>
      <c r="F35" s="41"/>
      <c r="G35" s="39"/>
      <c r="H35" s="39"/>
      <c r="J35" s="39"/>
      <c r="K35" s="39"/>
      <c r="M35" s="108"/>
    </row>
    <row r="36" spans="1:13" x14ac:dyDescent="0.25">
      <c r="A36" s="112" t="s">
        <v>237</v>
      </c>
      <c r="B36" s="45" t="s">
        <v>240</v>
      </c>
      <c r="C36" s="137"/>
      <c r="D36" s="117">
        <v>8.43</v>
      </c>
      <c r="E36" s="110">
        <v>52</v>
      </c>
      <c r="F36" s="41"/>
      <c r="G36" s="39"/>
      <c r="H36" s="39"/>
      <c r="J36" s="39"/>
      <c r="K36" s="39"/>
      <c r="M36" s="44"/>
    </row>
    <row r="37" spans="1:13" x14ac:dyDescent="0.25">
      <c r="A37" s="112" t="s">
        <v>237</v>
      </c>
      <c r="B37" s="45" t="s">
        <v>87</v>
      </c>
      <c r="C37" s="137">
        <v>77.5</v>
      </c>
      <c r="D37" s="117"/>
      <c r="E37" s="110">
        <v>51</v>
      </c>
      <c r="F37" s="41"/>
      <c r="G37" s="39"/>
      <c r="H37" s="39"/>
      <c r="J37" s="39"/>
      <c r="K37" s="39"/>
      <c r="M37" s="44"/>
    </row>
    <row r="38" spans="1:13" x14ac:dyDescent="0.25">
      <c r="A38" s="112">
        <v>43743</v>
      </c>
      <c r="B38" s="38" t="s">
        <v>254</v>
      </c>
      <c r="C38" s="137">
        <v>290.10000000000002</v>
      </c>
      <c r="D38" s="117"/>
      <c r="E38" s="110">
        <v>50</v>
      </c>
      <c r="F38" s="41"/>
      <c r="G38" s="39"/>
      <c r="H38" s="39"/>
      <c r="J38" s="39"/>
      <c r="K38" s="39"/>
      <c r="M38" s="44"/>
    </row>
    <row r="39" spans="1:13" x14ac:dyDescent="0.25">
      <c r="A39" s="112" t="s">
        <v>231</v>
      </c>
      <c r="B39" s="45" t="s">
        <v>236</v>
      </c>
      <c r="C39" s="137"/>
      <c r="D39" s="117">
        <v>6.75</v>
      </c>
      <c r="E39" s="110">
        <v>49</v>
      </c>
      <c r="F39" s="41"/>
      <c r="G39" s="39"/>
      <c r="H39" s="39"/>
      <c r="J39" s="39"/>
      <c r="K39" s="39"/>
      <c r="M39" s="44"/>
    </row>
    <row r="40" spans="1:13" x14ac:dyDescent="0.25">
      <c r="A40" s="112" t="s">
        <v>231</v>
      </c>
      <c r="B40" s="45" t="s">
        <v>87</v>
      </c>
      <c r="C40" s="137">
        <v>146.30000000000001</v>
      </c>
      <c r="D40" s="117"/>
      <c r="E40" s="110">
        <v>48</v>
      </c>
      <c r="F40" s="41"/>
      <c r="G40" s="39"/>
      <c r="H40" s="39"/>
      <c r="J40" s="39"/>
      <c r="K40" s="39"/>
      <c r="M40" s="44"/>
    </row>
    <row r="41" spans="1:13" x14ac:dyDescent="0.25">
      <c r="A41" s="112" t="s">
        <v>231</v>
      </c>
      <c r="B41" s="45" t="s">
        <v>82</v>
      </c>
      <c r="C41" s="137"/>
      <c r="D41" s="117">
        <v>75.75</v>
      </c>
      <c r="E41" s="110">
        <v>47</v>
      </c>
      <c r="F41" s="41"/>
      <c r="G41" s="39"/>
      <c r="H41" s="39"/>
      <c r="J41" s="39"/>
      <c r="K41" s="39"/>
      <c r="M41" s="44"/>
    </row>
    <row r="42" spans="1:13" x14ac:dyDescent="0.25">
      <c r="A42" s="112" t="s">
        <v>232</v>
      </c>
      <c r="B42" s="45" t="s">
        <v>233</v>
      </c>
      <c r="C42" s="137">
        <v>19.5</v>
      </c>
      <c r="D42" s="117"/>
      <c r="E42" s="110">
        <v>46</v>
      </c>
      <c r="F42" s="41"/>
      <c r="G42" s="39"/>
      <c r="H42" s="39"/>
      <c r="J42" s="39"/>
      <c r="K42" s="39"/>
      <c r="M42" s="44"/>
    </row>
    <row r="43" spans="1:13" x14ac:dyDescent="0.25">
      <c r="A43" s="112" t="s">
        <v>228</v>
      </c>
      <c r="B43" s="45" t="s">
        <v>87</v>
      </c>
      <c r="C43" s="137">
        <v>53.9</v>
      </c>
      <c r="D43" s="117"/>
      <c r="E43" s="110">
        <v>45</v>
      </c>
      <c r="F43" s="41"/>
      <c r="G43" s="39"/>
      <c r="H43" s="39"/>
      <c r="J43" s="39"/>
      <c r="K43" s="39"/>
      <c r="M43" s="44"/>
    </row>
    <row r="44" spans="1:13" x14ac:dyDescent="0.25">
      <c r="A44" s="112" t="s">
        <v>228</v>
      </c>
      <c r="B44" s="45" t="s">
        <v>229</v>
      </c>
      <c r="C44" s="137"/>
      <c r="D44" s="117">
        <v>8.82</v>
      </c>
      <c r="E44" s="110">
        <v>44</v>
      </c>
      <c r="F44" s="41"/>
      <c r="G44" s="39"/>
      <c r="H44" s="39"/>
      <c r="J44" s="39"/>
      <c r="K44" s="39"/>
      <c r="M44" s="44"/>
    </row>
    <row r="45" spans="1:13" x14ac:dyDescent="0.25">
      <c r="A45" s="113" t="s">
        <v>223</v>
      </c>
      <c r="B45" s="38" t="s">
        <v>230</v>
      </c>
      <c r="C45" s="134"/>
      <c r="D45" s="116">
        <v>121</v>
      </c>
      <c r="E45" s="109">
        <v>43</v>
      </c>
      <c r="F45" s="41"/>
      <c r="G45" s="39"/>
      <c r="H45" s="39"/>
      <c r="J45" s="39"/>
      <c r="K45" s="39"/>
      <c r="M45" s="44"/>
    </row>
    <row r="46" spans="1:13" x14ac:dyDescent="0.25">
      <c r="A46" s="112" t="s">
        <v>223</v>
      </c>
      <c r="B46" s="45" t="s">
        <v>234</v>
      </c>
      <c r="C46" s="137"/>
      <c r="D46" s="117">
        <v>340.9</v>
      </c>
      <c r="E46" s="110">
        <v>42</v>
      </c>
      <c r="F46" s="41"/>
      <c r="G46" s="39"/>
      <c r="H46" s="39"/>
      <c r="J46" s="39"/>
      <c r="K46" s="39"/>
      <c r="M46" s="44"/>
    </row>
    <row r="47" spans="1:13" x14ac:dyDescent="0.25">
      <c r="A47" s="112" t="s">
        <v>223</v>
      </c>
      <c r="B47" s="45" t="s">
        <v>224</v>
      </c>
      <c r="C47" s="137"/>
      <c r="D47" s="117">
        <v>40</v>
      </c>
      <c r="E47" s="110">
        <v>41</v>
      </c>
      <c r="F47" s="41"/>
      <c r="G47" s="39"/>
      <c r="H47" s="39"/>
      <c r="J47" s="39"/>
      <c r="K47" s="39"/>
      <c r="M47" s="44"/>
    </row>
    <row r="48" spans="1:13" x14ac:dyDescent="0.25">
      <c r="A48" s="112" t="s">
        <v>223</v>
      </c>
      <c r="B48" s="45" t="s">
        <v>224</v>
      </c>
      <c r="C48" s="137"/>
      <c r="D48" s="117">
        <v>22</v>
      </c>
      <c r="E48" s="110">
        <v>40</v>
      </c>
      <c r="F48" s="41"/>
      <c r="G48" s="39"/>
      <c r="H48" s="39"/>
      <c r="J48" s="39"/>
      <c r="K48" s="39"/>
      <c r="M48" s="44"/>
    </row>
    <row r="49" spans="1:13" x14ac:dyDescent="0.25">
      <c r="A49" s="112">
        <v>43738</v>
      </c>
      <c r="B49" s="38" t="s">
        <v>227</v>
      </c>
      <c r="C49" s="137"/>
      <c r="D49" s="117">
        <v>275.25</v>
      </c>
      <c r="E49" s="110">
        <v>39</v>
      </c>
      <c r="F49" s="41"/>
      <c r="G49" s="39"/>
      <c r="H49" s="39"/>
      <c r="J49" s="39"/>
      <c r="K49" s="39"/>
      <c r="M49" s="44"/>
    </row>
    <row r="50" spans="1:13" x14ac:dyDescent="0.25">
      <c r="A50" s="112" t="s">
        <v>220</v>
      </c>
      <c r="B50" s="45" t="s">
        <v>87</v>
      </c>
      <c r="C50" s="137">
        <v>185</v>
      </c>
      <c r="D50" s="118"/>
      <c r="E50" s="110">
        <v>38</v>
      </c>
      <c r="F50" s="41"/>
      <c r="G50" s="39"/>
      <c r="H50" s="39"/>
      <c r="J50" s="39"/>
      <c r="K50" s="39"/>
      <c r="M50" s="44"/>
    </row>
    <row r="51" spans="1:13" x14ac:dyDescent="0.25">
      <c r="A51" s="112" t="s">
        <v>220</v>
      </c>
      <c r="B51" s="45" t="s">
        <v>87</v>
      </c>
      <c r="C51" s="137">
        <v>57.2</v>
      </c>
      <c r="D51" s="117"/>
      <c r="E51" s="110">
        <f t="shared" ref="E51:E85" si="0">E52+1</f>
        <v>37</v>
      </c>
      <c r="F51" s="46"/>
      <c r="G51" s="39"/>
      <c r="H51" s="39"/>
      <c r="J51" s="39"/>
      <c r="K51" s="39"/>
    </row>
    <row r="52" spans="1:13" x14ac:dyDescent="0.25">
      <c r="A52" s="113" t="s">
        <v>210</v>
      </c>
      <c r="B52" s="38" t="s">
        <v>89</v>
      </c>
      <c r="C52" s="134"/>
      <c r="D52" s="116">
        <v>163.04</v>
      </c>
      <c r="E52" s="110">
        <f t="shared" si="0"/>
        <v>36</v>
      </c>
      <c r="F52" s="46"/>
      <c r="G52" s="39"/>
      <c r="H52" s="39"/>
      <c r="J52" s="39"/>
      <c r="K52" s="39"/>
    </row>
    <row r="53" spans="1:13" x14ac:dyDescent="0.25">
      <c r="A53" s="113" t="s">
        <v>210</v>
      </c>
      <c r="B53" s="38" t="s">
        <v>201</v>
      </c>
      <c r="C53" s="134"/>
      <c r="D53" s="116">
        <v>15.6</v>
      </c>
      <c r="E53" s="110">
        <f t="shared" si="0"/>
        <v>35</v>
      </c>
      <c r="F53" s="46"/>
      <c r="G53" s="39"/>
      <c r="H53" s="39"/>
      <c r="J53" s="39"/>
      <c r="K53" s="39"/>
    </row>
    <row r="54" spans="1:13" x14ac:dyDescent="0.25">
      <c r="A54" s="112" t="s">
        <v>210</v>
      </c>
      <c r="B54" s="38" t="s">
        <v>217</v>
      </c>
      <c r="C54" s="137"/>
      <c r="D54" s="117">
        <v>3.92</v>
      </c>
      <c r="E54" s="110">
        <f t="shared" si="0"/>
        <v>34</v>
      </c>
      <c r="F54" s="46"/>
      <c r="G54" s="39"/>
      <c r="H54" s="39"/>
      <c r="J54" s="39"/>
      <c r="K54" s="39"/>
    </row>
    <row r="55" spans="1:13" x14ac:dyDescent="0.25">
      <c r="A55" s="112" t="s">
        <v>204</v>
      </c>
      <c r="B55" s="45" t="s">
        <v>87</v>
      </c>
      <c r="C55" s="137">
        <v>54</v>
      </c>
      <c r="D55" s="117"/>
      <c r="E55" s="110">
        <f t="shared" si="0"/>
        <v>33</v>
      </c>
      <c r="F55" s="46"/>
      <c r="G55" s="39"/>
      <c r="H55" s="39"/>
      <c r="J55" s="39"/>
      <c r="K55" s="39"/>
    </row>
    <row r="56" spans="1:13" x14ac:dyDescent="0.25">
      <c r="A56" s="112" t="s">
        <v>213</v>
      </c>
      <c r="B56" s="45" t="s">
        <v>219</v>
      </c>
      <c r="C56" s="137"/>
      <c r="D56" s="117">
        <v>2.2000000000000002</v>
      </c>
      <c r="E56" s="110">
        <f t="shared" si="0"/>
        <v>32</v>
      </c>
      <c r="F56" s="46"/>
      <c r="G56" s="39"/>
      <c r="H56" s="39"/>
      <c r="J56" s="39"/>
      <c r="K56" s="39"/>
    </row>
    <row r="57" spans="1:13" x14ac:dyDescent="0.25">
      <c r="A57" s="112" t="s">
        <v>202</v>
      </c>
      <c r="B57" s="45" t="s">
        <v>87</v>
      </c>
      <c r="C57" s="137">
        <v>56.5</v>
      </c>
      <c r="D57" s="117"/>
      <c r="E57" s="110">
        <f t="shared" si="0"/>
        <v>31</v>
      </c>
      <c r="F57" s="46"/>
      <c r="G57" s="39"/>
      <c r="H57" s="39"/>
      <c r="J57" s="39"/>
      <c r="K57" s="39"/>
    </row>
    <row r="58" spans="1:13" x14ac:dyDescent="0.25">
      <c r="A58" s="112" t="s">
        <v>200</v>
      </c>
      <c r="B58" s="45" t="s">
        <v>218</v>
      </c>
      <c r="C58" s="137"/>
      <c r="D58" s="117">
        <v>2.8</v>
      </c>
      <c r="E58" s="110">
        <f t="shared" si="0"/>
        <v>30</v>
      </c>
      <c r="F58" s="46"/>
      <c r="G58" s="39"/>
      <c r="H58" s="39"/>
      <c r="J58" s="39"/>
      <c r="K58" s="39"/>
    </row>
    <row r="59" spans="1:13" x14ac:dyDescent="0.25">
      <c r="A59" s="112" t="s">
        <v>199</v>
      </c>
      <c r="B59" s="45" t="s">
        <v>87</v>
      </c>
      <c r="C59" s="137">
        <v>30.5</v>
      </c>
      <c r="D59" s="117"/>
      <c r="E59" s="110">
        <f t="shared" si="0"/>
        <v>29</v>
      </c>
      <c r="F59" s="46"/>
      <c r="G59" s="39"/>
      <c r="H59" s="39"/>
      <c r="J59" s="39"/>
      <c r="K59" s="39"/>
    </row>
    <row r="60" spans="1:13" x14ac:dyDescent="0.25">
      <c r="A60" s="112" t="s">
        <v>196</v>
      </c>
      <c r="B60" s="45" t="s">
        <v>198</v>
      </c>
      <c r="C60" s="137">
        <v>58.3</v>
      </c>
      <c r="D60" s="117"/>
      <c r="E60" s="110">
        <f t="shared" si="0"/>
        <v>28</v>
      </c>
      <c r="F60" s="46"/>
      <c r="G60" s="39"/>
      <c r="H60" s="39"/>
      <c r="J60" s="39"/>
      <c r="K60" s="39"/>
    </row>
    <row r="61" spans="1:13" x14ac:dyDescent="0.25">
      <c r="A61" s="112" t="s">
        <v>211</v>
      </c>
      <c r="B61" s="45" t="s">
        <v>212</v>
      </c>
      <c r="C61" s="137"/>
      <c r="D61" s="117">
        <v>10</v>
      </c>
      <c r="E61" s="110">
        <f t="shared" si="0"/>
        <v>27</v>
      </c>
      <c r="F61" s="46"/>
      <c r="G61" s="39"/>
      <c r="H61" s="39"/>
      <c r="J61" s="39"/>
      <c r="K61" s="39"/>
    </row>
    <row r="62" spans="1:13" x14ac:dyDescent="0.25">
      <c r="A62" s="112" t="s">
        <v>192</v>
      </c>
      <c r="B62" s="45" t="s">
        <v>197</v>
      </c>
      <c r="C62" s="137">
        <v>97.3</v>
      </c>
      <c r="D62" s="117"/>
      <c r="E62" s="110">
        <f t="shared" si="0"/>
        <v>26</v>
      </c>
      <c r="F62" s="46"/>
      <c r="G62" s="39"/>
      <c r="H62" s="39"/>
      <c r="J62" s="39"/>
      <c r="K62" s="39"/>
    </row>
    <row r="63" spans="1:13" x14ac:dyDescent="0.25">
      <c r="A63" s="112" t="s">
        <v>192</v>
      </c>
      <c r="B63" s="45" t="s">
        <v>82</v>
      </c>
      <c r="C63" s="137"/>
      <c r="D63" s="117">
        <v>101.02</v>
      </c>
      <c r="E63" s="110">
        <f t="shared" si="0"/>
        <v>25</v>
      </c>
      <c r="F63" s="46"/>
      <c r="G63" s="39"/>
      <c r="H63" s="39"/>
      <c r="J63" s="39"/>
      <c r="K63" s="39"/>
    </row>
    <row r="64" spans="1:13" x14ac:dyDescent="0.25">
      <c r="A64" s="112" t="s">
        <v>194</v>
      </c>
      <c r="B64" s="45" t="s">
        <v>87</v>
      </c>
      <c r="C64" s="137">
        <v>42.2</v>
      </c>
      <c r="D64" s="117"/>
      <c r="E64" s="110">
        <f t="shared" si="0"/>
        <v>24</v>
      </c>
      <c r="F64" s="46"/>
      <c r="G64" s="39"/>
      <c r="H64" s="39"/>
      <c r="J64" s="39"/>
      <c r="K64" s="39"/>
    </row>
    <row r="65" spans="1:11" x14ac:dyDescent="0.25">
      <c r="A65" s="113" t="s">
        <v>101</v>
      </c>
      <c r="B65" s="38" t="s">
        <v>87</v>
      </c>
      <c r="C65" s="134">
        <v>20</v>
      </c>
      <c r="D65" s="116"/>
      <c r="E65" s="110">
        <f t="shared" si="0"/>
        <v>23</v>
      </c>
      <c r="F65" s="46"/>
      <c r="G65" s="39"/>
      <c r="H65" s="39"/>
      <c r="J65" s="39"/>
      <c r="K65" s="39"/>
    </row>
    <row r="66" spans="1:11" x14ac:dyDescent="0.25">
      <c r="A66" s="113" t="s">
        <v>101</v>
      </c>
      <c r="B66" s="38" t="s">
        <v>102</v>
      </c>
      <c r="C66" s="134"/>
      <c r="D66" s="116">
        <v>6</v>
      </c>
      <c r="E66" s="110">
        <f t="shared" si="0"/>
        <v>22</v>
      </c>
      <c r="F66" s="46"/>
      <c r="G66" s="39"/>
      <c r="H66" s="39"/>
      <c r="J66" s="39"/>
      <c r="K66" s="39"/>
    </row>
    <row r="67" spans="1:11" x14ac:dyDescent="0.25">
      <c r="A67" s="113" t="s">
        <v>101</v>
      </c>
      <c r="B67" s="38" t="s">
        <v>87</v>
      </c>
      <c r="C67" s="134">
        <v>35</v>
      </c>
      <c r="D67" s="116"/>
      <c r="E67" s="110">
        <f t="shared" si="0"/>
        <v>21</v>
      </c>
      <c r="F67" s="46"/>
      <c r="G67" s="39"/>
      <c r="H67" s="39"/>
      <c r="J67" s="39"/>
      <c r="K67" s="39"/>
    </row>
    <row r="68" spans="1:11" x14ac:dyDescent="0.25">
      <c r="A68" s="113" t="s">
        <v>95</v>
      </c>
      <c r="B68" s="38" t="s">
        <v>98</v>
      </c>
      <c r="C68" s="134"/>
      <c r="D68" s="116">
        <v>103.94</v>
      </c>
      <c r="E68" s="110">
        <f t="shared" si="0"/>
        <v>20</v>
      </c>
      <c r="F68" s="46"/>
      <c r="G68" s="39"/>
      <c r="H68" s="39"/>
      <c r="J68" s="39"/>
      <c r="K68" s="39"/>
    </row>
    <row r="69" spans="1:11" x14ac:dyDescent="0.25">
      <c r="A69" s="113" t="s">
        <v>97</v>
      </c>
      <c r="B69" s="38" t="s">
        <v>96</v>
      </c>
      <c r="C69" s="134">
        <v>400</v>
      </c>
      <c r="D69" s="116"/>
      <c r="E69" s="110">
        <f t="shared" si="0"/>
        <v>19</v>
      </c>
      <c r="F69" s="46"/>
      <c r="G69" s="39"/>
      <c r="H69" s="39"/>
      <c r="J69" s="39"/>
      <c r="K69" s="39"/>
    </row>
    <row r="70" spans="1:11" x14ac:dyDescent="0.25">
      <c r="A70" s="113" t="s">
        <v>92</v>
      </c>
      <c r="B70" s="38" t="s">
        <v>94</v>
      </c>
      <c r="C70" s="134">
        <v>87.4</v>
      </c>
      <c r="D70" s="116"/>
      <c r="E70" s="110">
        <f t="shared" si="0"/>
        <v>18</v>
      </c>
      <c r="F70" s="46"/>
      <c r="G70" s="39"/>
      <c r="H70" s="39"/>
      <c r="J70" s="39"/>
      <c r="K70" s="39"/>
    </row>
    <row r="71" spans="1:11" x14ac:dyDescent="0.25">
      <c r="A71" s="113" t="s">
        <v>88</v>
      </c>
      <c r="B71" s="38" t="s">
        <v>91</v>
      </c>
      <c r="C71" s="134">
        <v>123.6</v>
      </c>
      <c r="D71" s="116"/>
      <c r="E71" s="110">
        <f t="shared" si="0"/>
        <v>17</v>
      </c>
      <c r="F71" s="46"/>
      <c r="G71" s="39"/>
      <c r="H71" s="39"/>
      <c r="J71" s="39"/>
      <c r="K71" s="39"/>
    </row>
    <row r="72" spans="1:11" x14ac:dyDescent="0.25">
      <c r="A72" s="113" t="s">
        <v>88</v>
      </c>
      <c r="B72" s="38" t="s">
        <v>89</v>
      </c>
      <c r="C72" s="134"/>
      <c r="D72" s="116">
        <v>78.03</v>
      </c>
      <c r="E72" s="110">
        <f t="shared" si="0"/>
        <v>16</v>
      </c>
      <c r="F72" s="46"/>
      <c r="G72" s="39"/>
      <c r="H72" s="39"/>
      <c r="J72" s="39"/>
      <c r="K72" s="39"/>
    </row>
    <row r="73" spans="1:11" x14ac:dyDescent="0.25">
      <c r="A73" s="113" t="s">
        <v>84</v>
      </c>
      <c r="B73" s="38" t="s">
        <v>87</v>
      </c>
      <c r="C73" s="134">
        <v>120.9</v>
      </c>
      <c r="D73" s="116"/>
      <c r="E73" s="110">
        <f t="shared" si="0"/>
        <v>15</v>
      </c>
      <c r="F73" s="46"/>
      <c r="G73" s="39"/>
      <c r="H73" s="39"/>
      <c r="J73" s="39"/>
      <c r="K73" s="39"/>
    </row>
    <row r="74" spans="1:11" x14ac:dyDescent="0.25">
      <c r="A74" s="113" t="s">
        <v>84</v>
      </c>
      <c r="B74" s="38" t="s">
        <v>86</v>
      </c>
      <c r="C74" s="134"/>
      <c r="D74" s="116">
        <v>29.22</v>
      </c>
      <c r="E74" s="110">
        <f t="shared" si="0"/>
        <v>14</v>
      </c>
      <c r="F74" s="46"/>
      <c r="G74" s="39"/>
      <c r="H74" s="39"/>
      <c r="J74" s="39"/>
      <c r="K74" s="39"/>
    </row>
    <row r="75" spans="1:11" x14ac:dyDescent="0.25">
      <c r="A75" s="113" t="s">
        <v>84</v>
      </c>
      <c r="B75" s="38" t="s">
        <v>85</v>
      </c>
      <c r="C75" s="134"/>
      <c r="D75" s="116">
        <v>32.25</v>
      </c>
      <c r="E75" s="110">
        <f t="shared" si="0"/>
        <v>13</v>
      </c>
      <c r="F75" s="46"/>
      <c r="G75" s="39"/>
      <c r="H75" s="39"/>
      <c r="J75" s="39"/>
      <c r="K75" s="39"/>
    </row>
    <row r="76" spans="1:11" x14ac:dyDescent="0.25">
      <c r="A76" s="113" t="s">
        <v>77</v>
      </c>
      <c r="B76" s="38" t="s">
        <v>82</v>
      </c>
      <c r="C76" s="134"/>
      <c r="D76" s="116">
        <v>144.18</v>
      </c>
      <c r="E76" s="110">
        <f t="shared" si="0"/>
        <v>12</v>
      </c>
      <c r="F76" s="46"/>
      <c r="G76" s="39"/>
      <c r="H76" s="39"/>
      <c r="J76" s="39"/>
      <c r="K76" s="39"/>
    </row>
    <row r="77" spans="1:11" x14ac:dyDescent="0.25">
      <c r="A77" s="113" t="s">
        <v>75</v>
      </c>
      <c r="B77" s="38" t="s">
        <v>79</v>
      </c>
      <c r="C77" s="134"/>
      <c r="D77" s="116">
        <v>411.83</v>
      </c>
      <c r="E77" s="110">
        <f t="shared" si="0"/>
        <v>11</v>
      </c>
      <c r="F77" s="46"/>
      <c r="G77" s="39"/>
      <c r="H77" s="39"/>
      <c r="J77" s="39"/>
      <c r="K77" s="39"/>
    </row>
    <row r="78" spans="1:11" x14ac:dyDescent="0.25">
      <c r="A78" s="113" t="s">
        <v>77</v>
      </c>
      <c r="B78" s="38" t="s">
        <v>78</v>
      </c>
      <c r="C78" s="134">
        <v>300</v>
      </c>
      <c r="D78" s="116"/>
      <c r="E78" s="110">
        <f t="shared" si="0"/>
        <v>10</v>
      </c>
      <c r="F78" s="46"/>
      <c r="G78" s="39"/>
      <c r="H78" s="39"/>
      <c r="J78" s="39"/>
      <c r="K78" s="39"/>
    </row>
    <row r="79" spans="1:11" x14ac:dyDescent="0.25">
      <c r="A79" s="113" t="s">
        <v>74</v>
      </c>
      <c r="B79" s="38" t="s">
        <v>66</v>
      </c>
      <c r="C79" s="134">
        <v>8</v>
      </c>
      <c r="D79" s="114"/>
      <c r="E79" s="110">
        <f t="shared" si="0"/>
        <v>9</v>
      </c>
      <c r="F79" s="46"/>
      <c r="G79" s="39"/>
      <c r="H79" s="39"/>
      <c r="K79" s="39"/>
    </row>
    <row r="80" spans="1:11" x14ac:dyDescent="0.25">
      <c r="A80" s="113" t="s">
        <v>72</v>
      </c>
      <c r="B80" s="38" t="s">
        <v>66</v>
      </c>
      <c r="C80" s="134">
        <v>99.5</v>
      </c>
      <c r="D80" s="114"/>
      <c r="E80" s="110">
        <f t="shared" si="0"/>
        <v>8</v>
      </c>
      <c r="F80" s="46"/>
      <c r="G80" s="39"/>
      <c r="H80" s="39"/>
      <c r="K80" s="39"/>
    </row>
    <row r="81" spans="1:12" x14ac:dyDescent="0.25">
      <c r="A81" s="113" t="s">
        <v>70</v>
      </c>
      <c r="B81" s="38" t="s">
        <v>66</v>
      </c>
      <c r="C81" s="134">
        <v>89.6</v>
      </c>
      <c r="D81" s="114"/>
      <c r="E81" s="110">
        <f t="shared" si="0"/>
        <v>7</v>
      </c>
      <c r="F81" s="46"/>
      <c r="G81" s="39"/>
      <c r="H81" s="39"/>
      <c r="K81" s="39"/>
    </row>
    <row r="82" spans="1:12" x14ac:dyDescent="0.25">
      <c r="A82" s="113" t="s">
        <v>70</v>
      </c>
      <c r="B82" s="38" t="s">
        <v>71</v>
      </c>
      <c r="C82" s="134"/>
      <c r="D82" s="114">
        <v>6.38</v>
      </c>
      <c r="E82" s="110">
        <f t="shared" si="0"/>
        <v>6</v>
      </c>
      <c r="F82" s="46"/>
      <c r="G82" s="39"/>
      <c r="H82" s="39"/>
      <c r="K82" s="39"/>
    </row>
    <row r="83" spans="1:12" x14ac:dyDescent="0.25">
      <c r="A83" s="113" t="s">
        <v>69</v>
      </c>
      <c r="B83" s="38" t="s">
        <v>66</v>
      </c>
      <c r="C83" s="134">
        <v>50.9</v>
      </c>
      <c r="D83" s="114"/>
      <c r="E83" s="110">
        <f t="shared" si="0"/>
        <v>5</v>
      </c>
      <c r="F83" s="46"/>
      <c r="G83" s="39"/>
      <c r="H83" s="39"/>
      <c r="K83" s="39"/>
    </row>
    <row r="84" spans="1:12" x14ac:dyDescent="0.25">
      <c r="A84" s="113" t="s">
        <v>67</v>
      </c>
      <c r="B84" s="38" t="s">
        <v>66</v>
      </c>
      <c r="C84" s="134">
        <v>25.5</v>
      </c>
      <c r="D84" s="114"/>
      <c r="E84" s="110">
        <f t="shared" si="0"/>
        <v>4</v>
      </c>
      <c r="F84" s="46"/>
      <c r="G84" s="39"/>
      <c r="H84" s="39"/>
      <c r="K84" s="39"/>
    </row>
    <row r="85" spans="1:12" x14ac:dyDescent="0.25">
      <c r="A85" s="113" t="s">
        <v>63</v>
      </c>
      <c r="B85" s="38" t="s">
        <v>66</v>
      </c>
      <c r="C85" s="134">
        <v>26</v>
      </c>
      <c r="D85" s="114"/>
      <c r="E85" s="110">
        <f t="shared" si="0"/>
        <v>3</v>
      </c>
      <c r="F85" s="46"/>
      <c r="G85" s="39"/>
      <c r="H85" s="39"/>
      <c r="K85" s="39"/>
    </row>
    <row r="86" spans="1:12" x14ac:dyDescent="0.25">
      <c r="A86" s="113">
        <v>43710</v>
      </c>
      <c r="B86" s="38" t="s">
        <v>66</v>
      </c>
      <c r="C86" s="134">
        <v>145.80000000000001</v>
      </c>
      <c r="D86" s="114"/>
      <c r="E86" s="110">
        <f>E87+1</f>
        <v>2</v>
      </c>
      <c r="F86" s="46"/>
      <c r="G86" s="39"/>
      <c r="H86" s="39"/>
      <c r="K86" s="39"/>
    </row>
    <row r="87" spans="1:12" x14ac:dyDescent="0.25">
      <c r="A87" s="113">
        <v>43709</v>
      </c>
      <c r="B87" s="38" t="s">
        <v>68</v>
      </c>
      <c r="C87" s="134">
        <v>525.67999999999995</v>
      </c>
      <c r="D87" s="114"/>
      <c r="E87" s="110">
        <v>1</v>
      </c>
      <c r="F87" s="46"/>
      <c r="G87" s="39"/>
      <c r="H87" s="39"/>
      <c r="K87" s="39"/>
    </row>
    <row r="88" spans="1:12" x14ac:dyDescent="0.25">
      <c r="A88" s="113"/>
      <c r="B88" s="38"/>
      <c r="C88" s="134"/>
      <c r="D88" s="114"/>
      <c r="E88" s="109"/>
      <c r="F88" s="41"/>
      <c r="H88" s="39"/>
      <c r="I88" s="39"/>
      <c r="L88" s="39"/>
    </row>
    <row r="89" spans="1:12" x14ac:dyDescent="0.25">
      <c r="A89" s="113"/>
      <c r="B89" s="38"/>
      <c r="C89" s="134"/>
      <c r="D89" s="114"/>
      <c r="E89" s="109"/>
      <c r="F89" s="41"/>
      <c r="H89" s="39"/>
      <c r="I89" s="39"/>
      <c r="L89" s="39"/>
    </row>
    <row r="90" spans="1:12" x14ac:dyDescent="0.25">
      <c r="A90" s="113"/>
      <c r="B90" s="38"/>
      <c r="C90" s="134"/>
      <c r="D90" s="114"/>
      <c r="E90" s="109"/>
      <c r="F90" s="41"/>
      <c r="H90" s="39"/>
      <c r="I90" s="39"/>
      <c r="L90" s="39"/>
    </row>
    <row r="91" spans="1:12" x14ac:dyDescent="0.25">
      <c r="A91" s="113"/>
      <c r="B91" s="38"/>
      <c r="C91" s="134"/>
      <c r="D91" s="114"/>
      <c r="E91" s="109"/>
      <c r="F91" s="41"/>
      <c r="H91" s="39"/>
      <c r="I91" s="39"/>
      <c r="L91" s="39"/>
    </row>
    <row r="92" spans="1:12" x14ac:dyDescent="0.25">
      <c r="A92" s="113"/>
      <c r="B92" s="38"/>
      <c r="C92" s="134"/>
      <c r="D92" s="114"/>
      <c r="E92" s="109"/>
      <c r="F92" s="41"/>
      <c r="H92" s="39"/>
      <c r="I92" s="39"/>
      <c r="L92" s="39"/>
    </row>
    <row r="93" spans="1:12" x14ac:dyDescent="0.25">
      <c r="A93" s="113"/>
      <c r="B93" s="38"/>
      <c r="C93" s="134"/>
      <c r="D93" s="114"/>
      <c r="E93" s="109"/>
      <c r="F93" s="41"/>
      <c r="H93" s="39"/>
      <c r="I93" s="39"/>
      <c r="L93" s="39"/>
    </row>
    <row r="94" spans="1:12" x14ac:dyDescent="0.25">
      <c r="A94" s="113"/>
      <c r="B94" s="38"/>
      <c r="C94" s="134"/>
      <c r="D94" s="114"/>
      <c r="E94" s="109"/>
      <c r="F94" s="41"/>
      <c r="H94" s="39"/>
      <c r="I94" s="39"/>
      <c r="L94" s="39"/>
    </row>
    <row r="95" spans="1:12" x14ac:dyDescent="0.25">
      <c r="A95" s="113"/>
      <c r="B95" s="38"/>
      <c r="C95" s="134"/>
      <c r="D95" s="114"/>
      <c r="E95" s="109"/>
      <c r="F95" s="41"/>
      <c r="H95" s="39"/>
      <c r="I95" s="39"/>
      <c r="L95" s="39"/>
    </row>
    <row r="96" spans="1:12" x14ac:dyDescent="0.25">
      <c r="A96" s="113"/>
      <c r="B96" s="38"/>
      <c r="C96" s="134"/>
      <c r="D96" s="114"/>
      <c r="E96" s="109"/>
      <c r="F96" s="41"/>
      <c r="H96" s="39"/>
      <c r="I96" s="39"/>
      <c r="L96" s="39"/>
    </row>
    <row r="97" spans="1:12" x14ac:dyDescent="0.25">
      <c r="A97" s="113"/>
      <c r="B97" s="38"/>
      <c r="C97" s="134"/>
      <c r="D97" s="114"/>
      <c r="E97" s="109"/>
      <c r="F97" s="41"/>
      <c r="H97" s="39"/>
      <c r="I97" s="39"/>
      <c r="L97" s="39"/>
    </row>
  </sheetData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B2:E16"/>
  <sheetViews>
    <sheetView tabSelected="1" workbookViewId="0">
      <selection activeCell="D3" sqref="D3"/>
    </sheetView>
  </sheetViews>
  <sheetFormatPr baseColWidth="10" defaultColWidth="11.44140625" defaultRowHeight="13.2" x14ac:dyDescent="0.25"/>
  <cols>
    <col min="1" max="1" width="2.109375" style="192" customWidth="1"/>
    <col min="2" max="2" width="11.44140625" style="192"/>
    <col min="3" max="3" width="7.5546875" style="192" bestFit="1" customWidth="1"/>
    <col min="4" max="4" width="11.44140625" style="192"/>
    <col min="5" max="5" width="11.88671875" style="192" bestFit="1" customWidth="1"/>
    <col min="6" max="16384" width="11.44140625" style="192"/>
  </cols>
  <sheetData>
    <row r="2" spans="2:5" ht="13.8" thickBot="1" x14ac:dyDescent="0.3"/>
    <row r="3" spans="2:5" ht="13.8" thickBot="1" x14ac:dyDescent="0.3">
      <c r="B3" s="212"/>
      <c r="C3" s="212"/>
      <c r="D3" s="212"/>
      <c r="E3" s="213" t="s">
        <v>337</v>
      </c>
    </row>
    <row r="4" spans="2:5" ht="13.8" thickBot="1" x14ac:dyDescent="0.3">
      <c r="B4" s="214" t="s">
        <v>43</v>
      </c>
      <c r="C4" s="215" t="s">
        <v>336</v>
      </c>
      <c r="D4" s="216" t="s">
        <v>3</v>
      </c>
      <c r="E4" s="212"/>
    </row>
    <row r="5" spans="2:5" x14ac:dyDescent="0.25">
      <c r="B5" s="203" t="s">
        <v>29</v>
      </c>
      <c r="C5" s="203">
        <v>1</v>
      </c>
      <c r="D5" s="204">
        <v>2647.2500000000005</v>
      </c>
    </row>
    <row r="6" spans="2:5" x14ac:dyDescent="0.25">
      <c r="B6" s="203" t="s">
        <v>30</v>
      </c>
      <c r="C6" s="203">
        <v>2</v>
      </c>
      <c r="D6" s="204">
        <v>3549.25</v>
      </c>
    </row>
    <row r="7" spans="2:5" x14ac:dyDescent="0.25">
      <c r="B7" s="203" t="s">
        <v>31</v>
      </c>
      <c r="C7" s="203">
        <v>3</v>
      </c>
      <c r="D7" s="204">
        <v>4029.06</v>
      </c>
    </row>
    <row r="8" spans="2:5" x14ac:dyDescent="0.25">
      <c r="B8" s="203" t="s">
        <v>32</v>
      </c>
      <c r="C8" s="203">
        <v>4</v>
      </c>
      <c r="D8" s="204">
        <v>349.5</v>
      </c>
      <c r="E8" s="217">
        <f xml:space="preserve"> 1262.5*LN(4) + 2654.5</f>
        <v>4404.6966309138616</v>
      </c>
    </row>
    <row r="9" spans="2:5" x14ac:dyDescent="0.25">
      <c r="B9" s="203" t="s">
        <v>33</v>
      </c>
      <c r="C9" s="203">
        <v>5</v>
      </c>
      <c r="D9" s="204">
        <v>0</v>
      </c>
      <c r="E9" s="217">
        <f xml:space="preserve"> 1262.5*LN(5) + 2654.5</f>
        <v>4686.4153644480521</v>
      </c>
    </row>
    <row r="10" spans="2:5" ht="13.8" thickBot="1" x14ac:dyDescent="0.3"/>
    <row r="11" spans="2:5" ht="13.8" thickBot="1" x14ac:dyDescent="0.3">
      <c r="B11" s="214" t="s">
        <v>43</v>
      </c>
      <c r="C11" s="215" t="s">
        <v>336</v>
      </c>
      <c r="D11" s="216" t="s">
        <v>3</v>
      </c>
    </row>
    <row r="12" spans="2:5" x14ac:dyDescent="0.25">
      <c r="B12" s="203" t="s">
        <v>29</v>
      </c>
      <c r="C12" s="203">
        <v>1</v>
      </c>
      <c r="D12" s="217">
        <v>2647.2500000000005</v>
      </c>
    </row>
    <row r="13" spans="2:5" x14ac:dyDescent="0.25">
      <c r="B13" s="203" t="s">
        <v>30</v>
      </c>
      <c r="C13" s="203">
        <v>2</v>
      </c>
      <c r="D13" s="217">
        <v>3549.25</v>
      </c>
    </row>
    <row r="14" spans="2:5" x14ac:dyDescent="0.25">
      <c r="B14" s="203" t="s">
        <v>31</v>
      </c>
      <c r="C14" s="203">
        <v>3</v>
      </c>
      <c r="D14" s="217">
        <v>3990.6751999999997</v>
      </c>
    </row>
    <row r="15" spans="2:5" x14ac:dyDescent="0.25">
      <c r="B15" s="203" t="s">
        <v>32</v>
      </c>
      <c r="C15" s="203">
        <v>4</v>
      </c>
      <c r="D15" s="217">
        <f xml:space="preserve"> 1231.3*LN(4) + 2660.3</f>
        <v>4367.2442468469217</v>
      </c>
      <c r="E15" s="218">
        <f>D8/2*26</f>
        <v>4543.5</v>
      </c>
    </row>
    <row r="16" spans="2:5" x14ac:dyDescent="0.25">
      <c r="B16" s="203" t="s">
        <v>33</v>
      </c>
      <c r="C16" s="203">
        <v>5</v>
      </c>
      <c r="D16" s="217">
        <f xml:space="preserve"> 1231.3*LN(5) + 2660.3</f>
        <v>4642.0009015801079</v>
      </c>
    </row>
  </sheetData>
  <sheetProtection algorithmName="SHA-512" hashValue="qJr8szwFUGtxfTVoxtIoXDa6Ni49kNRAaY7ZCcadt8VRtyAQQyGpRtYQGiCTDcf6nzXq5IJtc592r7olokeg3w==" saltValue="75ne8YmZV83OBtz4tqPr4g==" spinCount="100000" sheet="1" objects="1" scenarios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"/>
  <sheetViews>
    <sheetView showGridLines="0" showRowColHeaders="0" zoomScale="90" zoomScaleNormal="90" workbookViewId="0">
      <selection activeCell="M13" sqref="M13"/>
    </sheetView>
  </sheetViews>
  <sheetFormatPr baseColWidth="10" defaultColWidth="11.44140625" defaultRowHeight="13.2" x14ac:dyDescent="0.25"/>
  <cols>
    <col min="1" max="1" width="3.5546875" style="192" customWidth="1"/>
    <col min="2" max="16384" width="11.44140625" style="192"/>
  </cols>
  <sheetData/>
  <sheetProtection algorithmName="SHA-512" hashValue="tc22wsRgSy1ytsWdXD0Dl3yOxJJkaHjhzTYxP00tjnRjf4HhBNlYYkeAcs33Zws3yfCd/ubspkb/Z2sw15CvbA==" saltValue="Uk6QMkHGQnEbJmaNEXhXiw==" spinCount="100000" sheet="1" objects="1" scenarios="1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/>
  <dimension ref="A1:Q115"/>
  <sheetViews>
    <sheetView workbookViewId="0">
      <selection activeCell="B32" sqref="B32"/>
    </sheetView>
  </sheetViews>
  <sheetFormatPr baseColWidth="10" defaultRowHeight="13.2" x14ac:dyDescent="0.25"/>
  <cols>
    <col min="1" max="1" width="13.5546875" bestFit="1" customWidth="1"/>
    <col min="2" max="2" width="13.6640625" bestFit="1" customWidth="1"/>
    <col min="3" max="3" width="19.44140625" bestFit="1" customWidth="1"/>
    <col min="4" max="4" width="9.44140625" bestFit="1" customWidth="1"/>
    <col min="5" max="5" width="7.88671875" bestFit="1" customWidth="1"/>
    <col min="6" max="6" width="6.33203125" customWidth="1"/>
    <col min="7" max="7" width="24.6640625" customWidth="1"/>
    <col min="8" max="8" width="9.44140625" customWidth="1"/>
    <col min="9" max="9" width="11.44140625" customWidth="1"/>
    <col min="10" max="10" width="8.88671875" customWidth="1"/>
    <col min="11" max="11" width="17.88671875" customWidth="1"/>
    <col min="12" max="12" width="9.44140625" customWidth="1"/>
    <col min="13" max="13" width="11.44140625" customWidth="1"/>
    <col min="14" max="14" width="8.5546875" customWidth="1"/>
    <col min="15" max="15" width="17.88671875" customWidth="1"/>
    <col min="16" max="16" width="9.44140625" customWidth="1"/>
    <col min="17" max="17" width="11.44140625" customWidth="1"/>
  </cols>
  <sheetData>
    <row r="1" spans="1:17" x14ac:dyDescent="0.25">
      <c r="A1" s="126" t="s">
        <v>188</v>
      </c>
      <c r="B1" s="126" t="s">
        <v>103</v>
      </c>
      <c r="C1" s="126" t="s">
        <v>104</v>
      </c>
      <c r="D1" s="126" t="s">
        <v>3</v>
      </c>
      <c r="E1" s="127" t="s">
        <v>105</v>
      </c>
    </row>
    <row r="2" spans="1:17" x14ac:dyDescent="0.25">
      <c r="A2" s="126" t="s">
        <v>146</v>
      </c>
      <c r="B2" s="126" t="s">
        <v>146</v>
      </c>
      <c r="C2" s="126" t="s">
        <v>147</v>
      </c>
      <c r="D2" s="126">
        <v>1</v>
      </c>
      <c r="E2" s="127">
        <v>1.1000000000000001</v>
      </c>
    </row>
    <row r="3" spans="1:17" x14ac:dyDescent="0.25">
      <c r="A3" s="126" t="s">
        <v>146</v>
      </c>
      <c r="B3" s="126" t="s">
        <v>146</v>
      </c>
      <c r="C3" s="126" t="s">
        <v>334</v>
      </c>
      <c r="D3" s="126">
        <v>119</v>
      </c>
      <c r="E3" s="127">
        <v>95.2</v>
      </c>
    </row>
    <row r="4" spans="1:17" x14ac:dyDescent="0.25">
      <c r="A4" s="126" t="s">
        <v>273</v>
      </c>
      <c r="B4" s="126" t="s">
        <v>273</v>
      </c>
      <c r="C4" s="126" t="s">
        <v>274</v>
      </c>
      <c r="D4" s="126">
        <v>3</v>
      </c>
      <c r="E4" s="127">
        <v>4.5</v>
      </c>
      <c r="G4" s="3" t="s">
        <v>291</v>
      </c>
      <c r="K4" s="3" t="s">
        <v>295</v>
      </c>
      <c r="O4" s="3" t="s">
        <v>294</v>
      </c>
    </row>
    <row r="5" spans="1:17" x14ac:dyDescent="0.25">
      <c r="A5" s="126" t="s">
        <v>159</v>
      </c>
      <c r="B5" s="126" t="s">
        <v>159</v>
      </c>
      <c r="C5" s="126" t="s">
        <v>162</v>
      </c>
      <c r="D5" s="126">
        <v>9</v>
      </c>
      <c r="E5" s="127">
        <v>11.7</v>
      </c>
      <c r="H5" s="11" t="s">
        <v>296</v>
      </c>
      <c r="L5" s="11" t="s">
        <v>296</v>
      </c>
      <c r="P5" s="11" t="s">
        <v>296</v>
      </c>
    </row>
    <row r="6" spans="1:17" x14ac:dyDescent="0.25">
      <c r="A6" s="126" t="s">
        <v>159</v>
      </c>
      <c r="B6" s="126" t="s">
        <v>159</v>
      </c>
      <c r="C6" s="126" t="s">
        <v>161</v>
      </c>
      <c r="D6" s="126">
        <v>23</v>
      </c>
      <c r="E6" s="127">
        <v>29.9</v>
      </c>
      <c r="G6" s="11" t="s">
        <v>264</v>
      </c>
      <c r="H6" t="s">
        <v>292</v>
      </c>
      <c r="I6" t="s">
        <v>293</v>
      </c>
      <c r="K6" s="11" t="s">
        <v>264</v>
      </c>
      <c r="L6" t="s">
        <v>292</v>
      </c>
      <c r="M6" t="s">
        <v>293</v>
      </c>
      <c r="O6" s="11" t="s">
        <v>264</v>
      </c>
      <c r="P6" t="s">
        <v>292</v>
      </c>
      <c r="Q6" t="s">
        <v>293</v>
      </c>
    </row>
    <row r="7" spans="1:17" x14ac:dyDescent="0.25">
      <c r="A7" s="126" t="s">
        <v>159</v>
      </c>
      <c r="B7" s="126" t="s">
        <v>159</v>
      </c>
      <c r="C7" s="126" t="s">
        <v>160</v>
      </c>
      <c r="D7" s="126">
        <v>37</v>
      </c>
      <c r="E7" s="127">
        <v>51.8</v>
      </c>
      <c r="G7" s="6" t="s">
        <v>182</v>
      </c>
      <c r="H7" s="128">
        <v>543</v>
      </c>
      <c r="I7" s="129">
        <v>1233.1499999999999</v>
      </c>
      <c r="K7" s="6" t="s">
        <v>182</v>
      </c>
      <c r="L7" s="128">
        <v>543</v>
      </c>
      <c r="M7" s="129">
        <v>1233.1500000000001</v>
      </c>
      <c r="O7" s="6" t="s">
        <v>120</v>
      </c>
      <c r="P7" s="37">
        <v>2.7049180327868853E-2</v>
      </c>
      <c r="Q7" s="37">
        <v>5.6806251525142869E-2</v>
      </c>
    </row>
    <row r="8" spans="1:17" x14ac:dyDescent="0.25">
      <c r="A8" s="126" t="s">
        <v>159</v>
      </c>
      <c r="B8" s="126" t="s">
        <v>159</v>
      </c>
      <c r="C8" s="126" t="s">
        <v>277</v>
      </c>
      <c r="D8" s="126">
        <v>5</v>
      </c>
      <c r="E8" s="127">
        <v>8</v>
      </c>
      <c r="G8" s="124" t="s">
        <v>163</v>
      </c>
      <c r="H8" s="128">
        <v>180</v>
      </c>
      <c r="I8" s="129">
        <v>539.54999999999995</v>
      </c>
      <c r="K8" s="6" t="s">
        <v>149</v>
      </c>
      <c r="L8" s="128">
        <v>207</v>
      </c>
      <c r="M8" s="129">
        <v>1420</v>
      </c>
      <c r="O8" s="6" t="s">
        <v>110</v>
      </c>
      <c r="P8" s="37">
        <v>1.3114754098360656E-2</v>
      </c>
      <c r="Q8" s="37">
        <v>3.0247484578322825E-2</v>
      </c>
    </row>
    <row r="9" spans="1:17" x14ac:dyDescent="0.25">
      <c r="A9" s="126" t="s">
        <v>159</v>
      </c>
      <c r="B9" s="126" t="s">
        <v>159</v>
      </c>
      <c r="C9" s="126" t="s">
        <v>275</v>
      </c>
      <c r="D9" s="126">
        <v>2</v>
      </c>
      <c r="E9" s="127">
        <v>3</v>
      </c>
      <c r="G9" s="125" t="s">
        <v>166</v>
      </c>
      <c r="H9" s="128">
        <v>82</v>
      </c>
      <c r="I9" s="129">
        <v>246</v>
      </c>
      <c r="K9" s="6" t="s">
        <v>189</v>
      </c>
      <c r="L9" s="128">
        <v>470</v>
      </c>
      <c r="M9" s="129">
        <v>6157.5</v>
      </c>
      <c r="O9" s="6" t="s">
        <v>166</v>
      </c>
      <c r="P9" s="37">
        <v>6.7213114754098358E-2</v>
      </c>
      <c r="Q9" s="37">
        <v>2.7920754995374917E-2</v>
      </c>
    </row>
    <row r="10" spans="1:17" x14ac:dyDescent="0.25">
      <c r="A10" s="126" t="s">
        <v>159</v>
      </c>
      <c r="B10" s="126" t="s">
        <v>159</v>
      </c>
      <c r="C10" s="126" t="s">
        <v>276</v>
      </c>
      <c r="D10" s="126">
        <v>2</v>
      </c>
      <c r="E10" s="127">
        <v>3.4</v>
      </c>
      <c r="G10" s="125" t="s">
        <v>164</v>
      </c>
      <c r="H10" s="128">
        <v>4</v>
      </c>
      <c r="I10" s="129">
        <v>12</v>
      </c>
      <c r="K10" s="6" t="s">
        <v>37</v>
      </c>
      <c r="L10" s="128">
        <v>1220</v>
      </c>
      <c r="M10" s="129">
        <v>8810.65</v>
      </c>
      <c r="O10" s="6" t="s">
        <v>164</v>
      </c>
      <c r="P10" s="37">
        <v>3.2786885245901639E-3</v>
      </c>
      <c r="Q10" s="37">
        <v>1.3619880485548741E-3</v>
      </c>
    </row>
    <row r="11" spans="1:17" x14ac:dyDescent="0.25">
      <c r="A11" s="126" t="s">
        <v>182</v>
      </c>
      <c r="B11" s="126" t="s">
        <v>163</v>
      </c>
      <c r="C11" s="126" t="s">
        <v>166</v>
      </c>
      <c r="D11" s="126">
        <v>82</v>
      </c>
      <c r="E11" s="127">
        <v>246</v>
      </c>
      <c r="G11" s="125" t="s">
        <v>168</v>
      </c>
      <c r="H11" s="128">
        <v>42</v>
      </c>
      <c r="I11" s="129">
        <v>126.05</v>
      </c>
      <c r="O11" s="6" t="s">
        <v>168</v>
      </c>
      <c r="P11" s="37">
        <v>3.4426229508196723E-2</v>
      </c>
      <c r="Q11" s="37">
        <v>1.4306549460028489E-2</v>
      </c>
    </row>
    <row r="12" spans="1:17" x14ac:dyDescent="0.25">
      <c r="A12" s="126" t="s">
        <v>182</v>
      </c>
      <c r="B12" s="126" t="s">
        <v>163</v>
      </c>
      <c r="C12" s="126" t="s">
        <v>167</v>
      </c>
      <c r="D12" s="126">
        <v>7</v>
      </c>
      <c r="E12" s="127">
        <v>21</v>
      </c>
      <c r="G12" s="125" t="s">
        <v>169</v>
      </c>
      <c r="H12" s="128">
        <v>15</v>
      </c>
      <c r="I12" s="129">
        <v>45</v>
      </c>
      <c r="O12" s="6" t="s">
        <v>113</v>
      </c>
      <c r="P12" s="37">
        <v>3.6885245901639344E-2</v>
      </c>
      <c r="Q12" s="37">
        <v>8.5294501540748982E-2</v>
      </c>
    </row>
    <row r="13" spans="1:17" x14ac:dyDescent="0.25">
      <c r="A13" s="126" t="s">
        <v>182</v>
      </c>
      <c r="B13" s="126" t="s">
        <v>163</v>
      </c>
      <c r="C13" s="126" t="s">
        <v>164</v>
      </c>
      <c r="D13" s="126">
        <v>4</v>
      </c>
      <c r="E13" s="127">
        <v>12</v>
      </c>
      <c r="G13" s="125" t="s">
        <v>167</v>
      </c>
      <c r="H13" s="128">
        <v>7</v>
      </c>
      <c r="I13" s="129">
        <v>21</v>
      </c>
      <c r="O13" s="6" t="s">
        <v>151</v>
      </c>
      <c r="P13" s="37">
        <v>5.737704918032787E-2</v>
      </c>
      <c r="Q13" s="37">
        <v>6.355944226589412E-2</v>
      </c>
    </row>
    <row r="14" spans="1:17" x14ac:dyDescent="0.25">
      <c r="A14" s="126" t="s">
        <v>182</v>
      </c>
      <c r="B14" s="126" t="s">
        <v>163</v>
      </c>
      <c r="C14" s="126" t="s">
        <v>165</v>
      </c>
      <c r="D14" s="126">
        <v>13</v>
      </c>
      <c r="E14" s="127">
        <v>39</v>
      </c>
      <c r="G14" s="125" t="s">
        <v>165</v>
      </c>
      <c r="H14" s="128">
        <v>13</v>
      </c>
      <c r="I14" s="129">
        <v>39</v>
      </c>
      <c r="O14" s="6" t="s">
        <v>153</v>
      </c>
      <c r="P14" s="37">
        <v>1.2295081967213115E-2</v>
      </c>
      <c r="Q14" s="37">
        <v>1.7024850606935926E-2</v>
      </c>
    </row>
    <row r="15" spans="1:17" x14ac:dyDescent="0.25">
      <c r="A15" s="126" t="s">
        <v>182</v>
      </c>
      <c r="B15" s="126" t="s">
        <v>163</v>
      </c>
      <c r="C15" s="126" t="s">
        <v>168</v>
      </c>
      <c r="D15" s="126">
        <v>42</v>
      </c>
      <c r="E15" s="127">
        <v>126.05</v>
      </c>
      <c r="G15" s="125" t="s">
        <v>312</v>
      </c>
      <c r="H15" s="128">
        <v>17</v>
      </c>
      <c r="I15" s="129">
        <v>50.5</v>
      </c>
      <c r="O15" s="6" t="s">
        <v>184</v>
      </c>
      <c r="P15" s="37">
        <v>0.25327868852459018</v>
      </c>
      <c r="Q15" s="37">
        <v>7.0142384500576013E-2</v>
      </c>
    </row>
    <row r="16" spans="1:17" x14ac:dyDescent="0.25">
      <c r="A16" s="126" t="s">
        <v>182</v>
      </c>
      <c r="B16" s="126" t="s">
        <v>182</v>
      </c>
      <c r="C16" s="126" t="s">
        <v>183</v>
      </c>
      <c r="D16" s="126">
        <v>47</v>
      </c>
      <c r="E16" s="127">
        <v>61.1</v>
      </c>
      <c r="G16" s="124" t="s">
        <v>182</v>
      </c>
      <c r="H16" s="128">
        <v>363</v>
      </c>
      <c r="I16" s="129">
        <v>693.6</v>
      </c>
      <c r="O16" s="6" t="s">
        <v>278</v>
      </c>
      <c r="P16" s="37">
        <v>4.0983606557377051E-3</v>
      </c>
      <c r="Q16" s="37">
        <v>1.3052385465317543E-3</v>
      </c>
    </row>
    <row r="17" spans="1:17" x14ac:dyDescent="0.25">
      <c r="A17" s="126" t="s">
        <v>182</v>
      </c>
      <c r="B17" s="126" t="s">
        <v>182</v>
      </c>
      <c r="C17" s="126" t="s">
        <v>184</v>
      </c>
      <c r="D17" s="126">
        <v>309</v>
      </c>
      <c r="E17" s="127">
        <v>618</v>
      </c>
      <c r="G17" s="125" t="s">
        <v>184</v>
      </c>
      <c r="H17" s="128">
        <v>309</v>
      </c>
      <c r="I17" s="129">
        <v>618</v>
      </c>
      <c r="O17" s="6" t="s">
        <v>116</v>
      </c>
      <c r="P17" s="37">
        <v>1.3114754098360656E-2</v>
      </c>
      <c r="Q17" s="37">
        <v>2.5537275910403886E-2</v>
      </c>
    </row>
    <row r="18" spans="1:17" x14ac:dyDescent="0.25">
      <c r="A18" s="126" t="s">
        <v>182</v>
      </c>
      <c r="B18" s="126" t="s">
        <v>163</v>
      </c>
      <c r="C18" s="126" t="s">
        <v>312</v>
      </c>
      <c r="D18" s="126">
        <v>17</v>
      </c>
      <c r="E18" s="127">
        <v>50.5</v>
      </c>
      <c r="G18" s="125" t="s">
        <v>278</v>
      </c>
      <c r="H18" s="128">
        <v>5</v>
      </c>
      <c r="I18" s="129">
        <v>11.5</v>
      </c>
      <c r="O18" s="6" t="s">
        <v>114</v>
      </c>
      <c r="P18" s="37">
        <v>1.5573770491803279E-2</v>
      </c>
      <c r="Q18" s="37">
        <v>3.0020486570230348E-2</v>
      </c>
    </row>
    <row r="19" spans="1:17" x14ac:dyDescent="0.25">
      <c r="A19" s="126" t="s">
        <v>182</v>
      </c>
      <c r="B19" s="126" t="s">
        <v>182</v>
      </c>
      <c r="C19" s="126" t="s">
        <v>279</v>
      </c>
      <c r="D19" s="126">
        <v>2</v>
      </c>
      <c r="E19" s="127">
        <v>3</v>
      </c>
      <c r="G19" s="125" t="s">
        <v>183</v>
      </c>
      <c r="H19" s="128">
        <v>47</v>
      </c>
      <c r="I19" s="129">
        <v>61.1</v>
      </c>
      <c r="O19" s="6" t="s">
        <v>152</v>
      </c>
      <c r="P19" s="37">
        <v>3.4426229508196723E-2</v>
      </c>
      <c r="Q19" s="37">
        <v>2.3834790849710293E-2</v>
      </c>
    </row>
    <row r="20" spans="1:17" x14ac:dyDescent="0.25">
      <c r="A20" s="126" t="s">
        <v>182</v>
      </c>
      <c r="B20" s="126" t="s">
        <v>163</v>
      </c>
      <c r="C20" s="126" t="s">
        <v>169</v>
      </c>
      <c r="D20" s="126">
        <v>15</v>
      </c>
      <c r="E20" s="127">
        <v>45</v>
      </c>
      <c r="G20" s="125" t="s">
        <v>279</v>
      </c>
      <c r="H20" s="128">
        <v>2</v>
      </c>
      <c r="I20" s="129">
        <v>3</v>
      </c>
      <c r="O20" s="6" t="s">
        <v>280</v>
      </c>
      <c r="P20" s="37">
        <v>1.639344262295082E-3</v>
      </c>
      <c r="Q20" s="37">
        <v>9.0799203236991604E-4</v>
      </c>
    </row>
    <row r="21" spans="1:17" x14ac:dyDescent="0.25">
      <c r="A21" s="126" t="s">
        <v>182</v>
      </c>
      <c r="B21" s="126" t="s">
        <v>182</v>
      </c>
      <c r="C21" s="126" t="s">
        <v>278</v>
      </c>
      <c r="D21" s="126">
        <v>5</v>
      </c>
      <c r="E21" s="127">
        <v>11.5</v>
      </c>
      <c r="G21" s="6" t="s">
        <v>149</v>
      </c>
      <c r="H21" s="128">
        <v>207</v>
      </c>
      <c r="I21" s="129">
        <v>1420</v>
      </c>
      <c r="O21" s="6" t="s">
        <v>154</v>
      </c>
      <c r="P21" s="37">
        <v>4.9180327868852458E-2</v>
      </c>
      <c r="Q21" s="37">
        <v>4.7669581699420586E-2</v>
      </c>
    </row>
    <row r="22" spans="1:17" x14ac:dyDescent="0.25">
      <c r="A22" s="126" t="s">
        <v>137</v>
      </c>
      <c r="B22" s="126" t="s">
        <v>137</v>
      </c>
      <c r="C22" s="126" t="s">
        <v>138</v>
      </c>
      <c r="D22" s="126">
        <v>17</v>
      </c>
      <c r="E22" s="127">
        <v>27.6</v>
      </c>
      <c r="G22" s="124" t="s">
        <v>149</v>
      </c>
      <c r="H22" s="128">
        <v>207</v>
      </c>
      <c r="I22" s="129">
        <v>1420</v>
      </c>
      <c r="O22" s="6" t="s">
        <v>119</v>
      </c>
      <c r="P22" s="37">
        <v>1.4754098360655738E-2</v>
      </c>
      <c r="Q22" s="37">
        <v>3.5071192250288007E-2</v>
      </c>
    </row>
    <row r="23" spans="1:17" x14ac:dyDescent="0.25">
      <c r="A23" s="126" t="s">
        <v>137</v>
      </c>
      <c r="B23" s="126" t="s">
        <v>137</v>
      </c>
      <c r="C23" s="126" t="s">
        <v>305</v>
      </c>
      <c r="D23" s="126">
        <v>1</v>
      </c>
      <c r="E23" s="127">
        <v>2.5</v>
      </c>
      <c r="G23" s="125" t="s">
        <v>151</v>
      </c>
      <c r="H23" s="128">
        <v>70</v>
      </c>
      <c r="I23" s="129">
        <v>560</v>
      </c>
      <c r="O23" s="6" t="s">
        <v>115</v>
      </c>
      <c r="P23" s="37">
        <v>1.0655737704918032E-2</v>
      </c>
      <c r="Q23" s="37">
        <v>2.3153796825432858E-2</v>
      </c>
    </row>
    <row r="24" spans="1:17" x14ac:dyDescent="0.25">
      <c r="A24" s="126" t="s">
        <v>149</v>
      </c>
      <c r="B24" s="126" t="s">
        <v>149</v>
      </c>
      <c r="C24" s="126" t="s">
        <v>152</v>
      </c>
      <c r="D24" s="126">
        <v>42</v>
      </c>
      <c r="E24" s="127">
        <v>210</v>
      </c>
      <c r="G24" s="125" t="s">
        <v>153</v>
      </c>
      <c r="H24" s="128">
        <v>15</v>
      </c>
      <c r="I24" s="129">
        <v>150</v>
      </c>
      <c r="O24" s="6" t="s">
        <v>169</v>
      </c>
      <c r="P24" s="37">
        <v>1.2295081967213115E-2</v>
      </c>
      <c r="Q24" s="37">
        <v>5.1074551820807779E-3</v>
      </c>
    </row>
    <row r="25" spans="1:17" x14ac:dyDescent="0.25">
      <c r="A25" s="126" t="s">
        <v>149</v>
      </c>
      <c r="B25" s="126" t="s">
        <v>149</v>
      </c>
      <c r="C25" s="126" t="s">
        <v>151</v>
      </c>
      <c r="D25" s="126">
        <v>70</v>
      </c>
      <c r="E25" s="127">
        <v>560</v>
      </c>
      <c r="G25" s="125" t="s">
        <v>152</v>
      </c>
      <c r="H25" s="128">
        <v>42</v>
      </c>
      <c r="I25" s="129">
        <v>210</v>
      </c>
      <c r="O25" s="6" t="s">
        <v>167</v>
      </c>
      <c r="P25" s="37">
        <v>5.7377049180327867E-3</v>
      </c>
      <c r="Q25" s="37">
        <v>2.3834790849710293E-3</v>
      </c>
    </row>
    <row r="26" spans="1:17" x14ac:dyDescent="0.25">
      <c r="A26" s="126" t="s">
        <v>149</v>
      </c>
      <c r="B26" s="126" t="s">
        <v>149</v>
      </c>
      <c r="C26" s="126" t="s">
        <v>280</v>
      </c>
      <c r="D26" s="126">
        <v>2</v>
      </c>
      <c r="E26" s="127">
        <v>8</v>
      </c>
      <c r="G26" s="125" t="s">
        <v>280</v>
      </c>
      <c r="H26" s="128">
        <v>2</v>
      </c>
      <c r="I26" s="129">
        <v>8</v>
      </c>
      <c r="O26" s="6" t="s">
        <v>112</v>
      </c>
      <c r="P26" s="37">
        <v>2.9508196721311476E-2</v>
      </c>
      <c r="Q26" s="37">
        <v>6.8666897447974898E-2</v>
      </c>
    </row>
    <row r="27" spans="1:17" x14ac:dyDescent="0.25">
      <c r="A27" s="126" t="s">
        <v>149</v>
      </c>
      <c r="B27" s="126" t="s">
        <v>149</v>
      </c>
      <c r="C27" s="126" t="s">
        <v>150</v>
      </c>
      <c r="D27" s="126">
        <v>7</v>
      </c>
      <c r="E27" s="127">
        <v>56</v>
      </c>
      <c r="G27" s="125" t="s">
        <v>154</v>
      </c>
      <c r="H27" s="128">
        <v>60</v>
      </c>
      <c r="I27" s="129">
        <v>420</v>
      </c>
      <c r="O27" s="6" t="s">
        <v>122</v>
      </c>
      <c r="P27" s="37">
        <v>7.2131147540983612E-2</v>
      </c>
      <c r="Q27" s="37">
        <v>0.10532707575491025</v>
      </c>
    </row>
    <row r="28" spans="1:17" x14ac:dyDescent="0.25">
      <c r="A28" s="126" t="s">
        <v>149</v>
      </c>
      <c r="B28" s="126" t="s">
        <v>149</v>
      </c>
      <c r="C28" s="126" t="s">
        <v>325</v>
      </c>
      <c r="D28" s="126">
        <v>6</v>
      </c>
      <c r="E28" s="127">
        <v>6</v>
      </c>
      <c r="G28" s="125" t="s">
        <v>150</v>
      </c>
      <c r="H28" s="128">
        <v>7</v>
      </c>
      <c r="I28" s="129">
        <v>56</v>
      </c>
      <c r="O28" s="6" t="s">
        <v>121</v>
      </c>
      <c r="P28" s="37">
        <v>4.9180327868852463E-3</v>
      </c>
      <c r="Q28" s="37">
        <v>6.1289462184969329E-3</v>
      </c>
    </row>
    <row r="29" spans="1:17" x14ac:dyDescent="0.25">
      <c r="A29" s="126" t="s">
        <v>149</v>
      </c>
      <c r="B29" s="126" t="s">
        <v>149</v>
      </c>
      <c r="C29" s="126" t="s">
        <v>297</v>
      </c>
      <c r="D29" s="126">
        <v>5</v>
      </c>
      <c r="E29" s="127">
        <v>10</v>
      </c>
      <c r="G29" s="125" t="s">
        <v>297</v>
      </c>
      <c r="H29" s="128">
        <v>5</v>
      </c>
      <c r="I29" s="129">
        <v>10</v>
      </c>
      <c r="O29" s="6" t="s">
        <v>111</v>
      </c>
      <c r="P29" s="37">
        <v>9.8360655737704927E-3</v>
      </c>
      <c r="Q29" s="37">
        <v>2.247280280115542E-2</v>
      </c>
    </row>
    <row r="30" spans="1:17" x14ac:dyDescent="0.25">
      <c r="A30" s="126" t="s">
        <v>149</v>
      </c>
      <c r="B30" s="126" t="s">
        <v>149</v>
      </c>
      <c r="C30" s="126" t="s">
        <v>153</v>
      </c>
      <c r="D30" s="126">
        <v>15</v>
      </c>
      <c r="E30" s="127">
        <v>150</v>
      </c>
      <c r="G30" s="125" t="s">
        <v>325</v>
      </c>
      <c r="H30" s="128">
        <v>6</v>
      </c>
      <c r="I30" s="129">
        <v>6</v>
      </c>
      <c r="O30" s="6" t="s">
        <v>165</v>
      </c>
      <c r="P30" s="37">
        <v>1.0655737704918032E-2</v>
      </c>
      <c r="Q30" s="37">
        <v>4.4264611578033403E-3</v>
      </c>
    </row>
    <row r="31" spans="1:17" x14ac:dyDescent="0.25">
      <c r="A31" s="126" t="s">
        <v>149</v>
      </c>
      <c r="B31" s="126" t="s">
        <v>149</v>
      </c>
      <c r="C31" s="126" t="s">
        <v>154</v>
      </c>
      <c r="D31" s="126">
        <v>60</v>
      </c>
      <c r="E31" s="127">
        <v>420</v>
      </c>
      <c r="G31" s="6" t="s">
        <v>189</v>
      </c>
      <c r="H31" s="128">
        <v>470</v>
      </c>
      <c r="I31" s="129">
        <v>6157.5</v>
      </c>
      <c r="O31" s="6" t="s">
        <v>118</v>
      </c>
      <c r="P31" s="37">
        <v>5.4098360655737705E-2</v>
      </c>
      <c r="Q31" s="37">
        <v>0.13608530585144116</v>
      </c>
    </row>
    <row r="32" spans="1:17" x14ac:dyDescent="0.25">
      <c r="A32" s="126" t="s">
        <v>281</v>
      </c>
      <c r="B32" s="126" t="s">
        <v>281</v>
      </c>
      <c r="C32" s="126" t="s">
        <v>284</v>
      </c>
      <c r="D32" s="126">
        <v>20</v>
      </c>
      <c r="E32" s="127">
        <v>44</v>
      </c>
      <c r="G32" s="124" t="s">
        <v>106</v>
      </c>
      <c r="H32" s="128">
        <v>104</v>
      </c>
      <c r="I32" s="129">
        <v>1987</v>
      </c>
      <c r="O32" s="6" t="s">
        <v>117</v>
      </c>
      <c r="P32" s="37">
        <v>2.540983606557377E-2</v>
      </c>
      <c r="Q32" s="37">
        <v>5.7827742561559023E-2</v>
      </c>
    </row>
    <row r="33" spans="1:17" x14ac:dyDescent="0.25">
      <c r="A33" s="126" t="s">
        <v>281</v>
      </c>
      <c r="B33" s="126" t="s">
        <v>281</v>
      </c>
      <c r="C33" s="126" t="s">
        <v>283</v>
      </c>
      <c r="D33" s="126">
        <v>11</v>
      </c>
      <c r="E33" s="127">
        <v>24.2</v>
      </c>
      <c r="G33" s="125" t="s">
        <v>120</v>
      </c>
      <c r="H33" s="128">
        <v>4</v>
      </c>
      <c r="I33" s="129">
        <v>92</v>
      </c>
      <c r="O33" s="6" t="s">
        <v>107</v>
      </c>
      <c r="P33" s="37">
        <v>3.1147540983606559E-2</v>
      </c>
      <c r="Q33" s="37">
        <v>8.739423311560442E-3</v>
      </c>
    </row>
    <row r="34" spans="1:17" x14ac:dyDescent="0.25">
      <c r="A34" s="126" t="s">
        <v>281</v>
      </c>
      <c r="B34" s="126" t="s">
        <v>281</v>
      </c>
      <c r="C34" s="126" t="s">
        <v>282</v>
      </c>
      <c r="D34" s="126">
        <v>4</v>
      </c>
      <c r="E34" s="127">
        <v>6.8</v>
      </c>
      <c r="G34" s="125" t="s">
        <v>110</v>
      </c>
      <c r="H34" s="128">
        <v>3</v>
      </c>
      <c r="I34" s="129">
        <v>69</v>
      </c>
      <c r="O34" s="6" t="s">
        <v>109</v>
      </c>
      <c r="P34" s="37">
        <v>2.7049180327868853E-2</v>
      </c>
      <c r="Q34" s="37">
        <v>7.4909342670518072E-3</v>
      </c>
    </row>
    <row r="35" spans="1:17" x14ac:dyDescent="0.25">
      <c r="A35" s="126" t="s">
        <v>281</v>
      </c>
      <c r="B35" s="126" t="s">
        <v>281</v>
      </c>
      <c r="C35" s="126" t="s">
        <v>285</v>
      </c>
      <c r="D35" s="126">
        <v>12</v>
      </c>
      <c r="E35" s="127">
        <v>16.8</v>
      </c>
      <c r="G35" s="125" t="s">
        <v>113</v>
      </c>
      <c r="H35" s="128">
        <v>9</v>
      </c>
      <c r="I35" s="129">
        <v>229.5</v>
      </c>
      <c r="O35" s="6" t="s">
        <v>183</v>
      </c>
      <c r="P35" s="37">
        <v>3.8524590163934426E-2</v>
      </c>
      <c r="Q35" s="37">
        <v>6.934789147225234E-3</v>
      </c>
    </row>
    <row r="36" spans="1:17" x14ac:dyDescent="0.25">
      <c r="A36" s="126" t="s">
        <v>134</v>
      </c>
      <c r="B36" s="126" t="s">
        <v>134</v>
      </c>
      <c r="C36" s="126" t="s">
        <v>135</v>
      </c>
      <c r="D36" s="126">
        <v>16</v>
      </c>
      <c r="E36" s="127">
        <v>24</v>
      </c>
      <c r="G36" s="125" t="s">
        <v>116</v>
      </c>
      <c r="H36" s="128">
        <v>1</v>
      </c>
      <c r="I36" s="129">
        <v>25.5</v>
      </c>
      <c r="O36" s="6" t="s">
        <v>279</v>
      </c>
      <c r="P36" s="37">
        <v>1.639344262295082E-3</v>
      </c>
      <c r="Q36" s="37">
        <v>3.4049701213871851E-4</v>
      </c>
    </row>
    <row r="37" spans="1:17" x14ac:dyDescent="0.25">
      <c r="A37" s="126" t="s">
        <v>134</v>
      </c>
      <c r="B37" s="126" t="s">
        <v>134</v>
      </c>
      <c r="C37" s="126" t="s">
        <v>136</v>
      </c>
      <c r="D37" s="126">
        <v>7</v>
      </c>
      <c r="E37" s="127">
        <v>10.25</v>
      </c>
      <c r="G37" s="125" t="s">
        <v>114</v>
      </c>
      <c r="H37" s="128">
        <v>4</v>
      </c>
      <c r="I37" s="129">
        <v>102</v>
      </c>
      <c r="O37" s="6" t="s">
        <v>150</v>
      </c>
      <c r="P37" s="37">
        <v>5.7377049180327867E-3</v>
      </c>
      <c r="Q37" s="37">
        <v>6.3559442265894118E-3</v>
      </c>
    </row>
    <row r="38" spans="1:17" x14ac:dyDescent="0.25">
      <c r="A38" s="126" t="s">
        <v>286</v>
      </c>
      <c r="B38" s="126" t="s">
        <v>286</v>
      </c>
      <c r="C38" s="126" t="s">
        <v>287</v>
      </c>
      <c r="D38" s="126">
        <v>7</v>
      </c>
      <c r="E38" s="127">
        <v>8.4</v>
      </c>
      <c r="G38" s="125" t="s">
        <v>119</v>
      </c>
      <c r="H38" s="128">
        <v>6</v>
      </c>
      <c r="I38" s="129">
        <v>153</v>
      </c>
      <c r="O38" s="6" t="s">
        <v>297</v>
      </c>
      <c r="P38" s="37">
        <v>4.0983606557377051E-3</v>
      </c>
      <c r="Q38" s="37">
        <v>1.1349900404623949E-3</v>
      </c>
    </row>
    <row r="39" spans="1:17" x14ac:dyDescent="0.25">
      <c r="A39" s="126" t="s">
        <v>124</v>
      </c>
      <c r="B39" s="126" t="s">
        <v>124</v>
      </c>
      <c r="C39" s="126" t="s">
        <v>124</v>
      </c>
      <c r="D39" s="126">
        <v>11</v>
      </c>
      <c r="E39" s="127">
        <v>110</v>
      </c>
      <c r="G39" s="125" t="s">
        <v>115</v>
      </c>
      <c r="H39" s="128">
        <v>3</v>
      </c>
      <c r="I39" s="129">
        <v>69</v>
      </c>
      <c r="O39" s="6" t="s">
        <v>312</v>
      </c>
      <c r="P39" s="37">
        <v>1.3934426229508197E-2</v>
      </c>
      <c r="Q39" s="37">
        <v>5.7316997043350944E-3</v>
      </c>
    </row>
    <row r="40" spans="1:17" x14ac:dyDescent="0.25">
      <c r="A40" s="126" t="s">
        <v>128</v>
      </c>
      <c r="B40" s="126" t="s">
        <v>128</v>
      </c>
      <c r="C40" s="126" t="s">
        <v>129</v>
      </c>
      <c r="D40" s="126">
        <v>37</v>
      </c>
      <c r="E40" s="127">
        <v>148</v>
      </c>
      <c r="G40" s="125" t="s">
        <v>112</v>
      </c>
      <c r="H40" s="128">
        <v>7</v>
      </c>
      <c r="I40" s="129">
        <v>178.5</v>
      </c>
      <c r="O40" s="6" t="s">
        <v>325</v>
      </c>
      <c r="P40" s="37">
        <v>4.9180327868852463E-3</v>
      </c>
      <c r="Q40" s="37">
        <v>6.8099402427743703E-4</v>
      </c>
    </row>
    <row r="41" spans="1:17" x14ac:dyDescent="0.25">
      <c r="A41" s="126" t="s">
        <v>128</v>
      </c>
      <c r="B41" s="126" t="s">
        <v>128</v>
      </c>
      <c r="C41" s="126" t="s">
        <v>335</v>
      </c>
      <c r="D41" s="126">
        <v>1</v>
      </c>
      <c r="E41" s="127">
        <v>1.5</v>
      </c>
      <c r="G41" s="125" t="s">
        <v>122</v>
      </c>
      <c r="H41" s="128">
        <v>18</v>
      </c>
      <c r="I41" s="129">
        <v>288</v>
      </c>
      <c r="O41" s="6" t="s">
        <v>37</v>
      </c>
      <c r="P41" s="37">
        <v>1</v>
      </c>
      <c r="Q41" s="37">
        <v>1</v>
      </c>
    </row>
    <row r="42" spans="1:17" x14ac:dyDescent="0.25">
      <c r="A42" s="126" t="s">
        <v>128</v>
      </c>
      <c r="B42" s="126" t="s">
        <v>128</v>
      </c>
      <c r="C42" s="126" t="s">
        <v>130</v>
      </c>
      <c r="D42" s="126">
        <v>11</v>
      </c>
      <c r="E42" s="127">
        <v>33</v>
      </c>
      <c r="G42" s="125" t="s">
        <v>121</v>
      </c>
      <c r="H42" s="128">
        <v>1</v>
      </c>
      <c r="I42" s="129">
        <v>16.5</v>
      </c>
    </row>
    <row r="43" spans="1:17" x14ac:dyDescent="0.25">
      <c r="A43" s="126" t="s">
        <v>128</v>
      </c>
      <c r="B43" s="126" t="s">
        <v>128</v>
      </c>
      <c r="C43" s="126" t="s">
        <v>132</v>
      </c>
      <c r="D43" s="126">
        <v>26</v>
      </c>
      <c r="E43" s="127">
        <v>78</v>
      </c>
      <c r="G43" s="125" t="s">
        <v>111</v>
      </c>
      <c r="H43" s="128">
        <v>3</v>
      </c>
      <c r="I43" s="129">
        <v>76.5</v>
      </c>
    </row>
    <row r="44" spans="1:17" x14ac:dyDescent="0.25">
      <c r="A44" s="126" t="s">
        <v>128</v>
      </c>
      <c r="B44" s="126" t="s">
        <v>128</v>
      </c>
      <c r="C44" s="126" t="s">
        <v>131</v>
      </c>
      <c r="D44" s="126">
        <v>24</v>
      </c>
      <c r="E44" s="127">
        <v>77</v>
      </c>
      <c r="G44" s="125" t="s">
        <v>118</v>
      </c>
      <c r="H44" s="128">
        <v>19</v>
      </c>
      <c r="I44" s="129">
        <v>484.5</v>
      </c>
    </row>
    <row r="45" spans="1:17" x14ac:dyDescent="0.25">
      <c r="A45" s="126" t="s">
        <v>128</v>
      </c>
      <c r="B45" s="126" t="s">
        <v>128</v>
      </c>
      <c r="C45" s="126" t="s">
        <v>133</v>
      </c>
      <c r="D45" s="126">
        <v>5</v>
      </c>
      <c r="E45" s="127">
        <v>30</v>
      </c>
      <c r="G45" s="125" t="s">
        <v>117</v>
      </c>
      <c r="H45" s="128">
        <v>6</v>
      </c>
      <c r="I45" s="129">
        <v>153</v>
      </c>
    </row>
    <row r="46" spans="1:17" x14ac:dyDescent="0.25">
      <c r="A46" s="126" t="s">
        <v>189</v>
      </c>
      <c r="B46" s="126" t="s">
        <v>108</v>
      </c>
      <c r="C46" s="126" t="s">
        <v>122</v>
      </c>
      <c r="D46" s="126">
        <v>44</v>
      </c>
      <c r="E46" s="127">
        <v>484</v>
      </c>
      <c r="G46" s="125" t="s">
        <v>107</v>
      </c>
      <c r="H46" s="128">
        <v>20</v>
      </c>
      <c r="I46" s="129">
        <v>50</v>
      </c>
    </row>
    <row r="47" spans="1:17" x14ac:dyDescent="0.25">
      <c r="A47" s="126" t="s">
        <v>189</v>
      </c>
      <c r="B47" s="126" t="s">
        <v>123</v>
      </c>
      <c r="C47" s="126" t="s">
        <v>111</v>
      </c>
      <c r="D47" s="126">
        <v>4</v>
      </c>
      <c r="E47" s="127">
        <v>34</v>
      </c>
      <c r="G47" s="124" t="s">
        <v>123</v>
      </c>
      <c r="H47" s="128">
        <v>135</v>
      </c>
      <c r="I47" s="129">
        <v>931.5</v>
      </c>
    </row>
    <row r="48" spans="1:17" x14ac:dyDescent="0.25">
      <c r="A48" s="126" t="s">
        <v>189</v>
      </c>
      <c r="B48" s="126" t="s">
        <v>123</v>
      </c>
      <c r="C48" s="126" t="s">
        <v>112</v>
      </c>
      <c r="D48" s="126">
        <v>9</v>
      </c>
      <c r="E48" s="127">
        <v>76.5</v>
      </c>
      <c r="G48" s="125" t="s">
        <v>120</v>
      </c>
      <c r="H48" s="128">
        <v>11</v>
      </c>
      <c r="I48" s="129">
        <v>93.5</v>
      </c>
    </row>
    <row r="49" spans="1:9" x14ac:dyDescent="0.25">
      <c r="A49" s="126" t="s">
        <v>189</v>
      </c>
      <c r="B49" s="126" t="s">
        <v>106</v>
      </c>
      <c r="C49" s="126" t="s">
        <v>121</v>
      </c>
      <c r="D49" s="126">
        <v>1</v>
      </c>
      <c r="E49" s="127">
        <v>16.5</v>
      </c>
      <c r="G49" s="125" t="s">
        <v>110</v>
      </c>
      <c r="H49" s="128">
        <v>3</v>
      </c>
      <c r="I49" s="129">
        <v>22.5</v>
      </c>
    </row>
    <row r="50" spans="1:9" x14ac:dyDescent="0.25">
      <c r="A50" s="126" t="s">
        <v>189</v>
      </c>
      <c r="B50" s="126" t="s">
        <v>106</v>
      </c>
      <c r="C50" s="126" t="s">
        <v>122</v>
      </c>
      <c r="D50" s="126">
        <v>18</v>
      </c>
      <c r="E50" s="127">
        <v>288</v>
      </c>
      <c r="G50" s="125" t="s">
        <v>113</v>
      </c>
      <c r="H50" s="128">
        <v>12</v>
      </c>
      <c r="I50" s="129">
        <v>102</v>
      </c>
    </row>
    <row r="51" spans="1:9" x14ac:dyDescent="0.25">
      <c r="A51" s="126" t="s">
        <v>189</v>
      </c>
      <c r="B51" s="126" t="s">
        <v>123</v>
      </c>
      <c r="C51" s="126" t="s">
        <v>110</v>
      </c>
      <c r="D51" s="126">
        <v>3</v>
      </c>
      <c r="E51" s="127">
        <v>22.5</v>
      </c>
      <c r="G51" s="125" t="s">
        <v>116</v>
      </c>
      <c r="H51" s="128">
        <v>7</v>
      </c>
      <c r="I51" s="129">
        <v>59.5</v>
      </c>
    </row>
    <row r="52" spans="1:9" x14ac:dyDescent="0.25">
      <c r="A52" s="126" t="s">
        <v>189</v>
      </c>
      <c r="B52" s="126" t="s">
        <v>123</v>
      </c>
      <c r="C52" s="126" t="s">
        <v>116</v>
      </c>
      <c r="D52" s="126">
        <v>7</v>
      </c>
      <c r="E52" s="127">
        <v>59.5</v>
      </c>
      <c r="G52" s="125" t="s">
        <v>114</v>
      </c>
      <c r="H52" s="128">
        <v>10</v>
      </c>
      <c r="I52" s="129">
        <v>75</v>
      </c>
    </row>
    <row r="53" spans="1:9" x14ac:dyDescent="0.25">
      <c r="A53" s="126" t="s">
        <v>189</v>
      </c>
      <c r="B53" s="126" t="s">
        <v>123</v>
      </c>
      <c r="C53" s="126" t="s">
        <v>117</v>
      </c>
      <c r="D53" s="126">
        <v>9</v>
      </c>
      <c r="E53" s="127">
        <v>76.5</v>
      </c>
      <c r="G53" s="125" t="s">
        <v>119</v>
      </c>
      <c r="H53" s="128">
        <v>6</v>
      </c>
      <c r="I53" s="129">
        <v>51</v>
      </c>
    </row>
    <row r="54" spans="1:9" x14ac:dyDescent="0.25">
      <c r="A54" s="126" t="s">
        <v>189</v>
      </c>
      <c r="B54" s="126" t="s">
        <v>123</v>
      </c>
      <c r="C54" s="126" t="s">
        <v>118</v>
      </c>
      <c r="D54" s="126">
        <v>12</v>
      </c>
      <c r="E54" s="127">
        <v>102</v>
      </c>
      <c r="G54" s="125" t="s">
        <v>115</v>
      </c>
      <c r="H54" s="128">
        <v>4</v>
      </c>
      <c r="I54" s="129">
        <v>30</v>
      </c>
    </row>
    <row r="55" spans="1:9" x14ac:dyDescent="0.25">
      <c r="A55" s="126" t="s">
        <v>189</v>
      </c>
      <c r="B55" s="126" t="s">
        <v>123</v>
      </c>
      <c r="C55" s="126" t="s">
        <v>113</v>
      </c>
      <c r="D55" s="126">
        <v>12</v>
      </c>
      <c r="E55" s="127">
        <v>102</v>
      </c>
      <c r="G55" s="125" t="s">
        <v>112</v>
      </c>
      <c r="H55" s="128">
        <v>9</v>
      </c>
      <c r="I55" s="129">
        <v>76.5</v>
      </c>
    </row>
    <row r="56" spans="1:9" x14ac:dyDescent="0.25">
      <c r="A56" s="126" t="s">
        <v>189</v>
      </c>
      <c r="B56" s="126" t="s">
        <v>123</v>
      </c>
      <c r="C56" s="126" t="s">
        <v>114</v>
      </c>
      <c r="D56" s="126">
        <v>10</v>
      </c>
      <c r="E56" s="127">
        <v>75</v>
      </c>
      <c r="G56" s="125" t="s">
        <v>122</v>
      </c>
      <c r="H56" s="128">
        <v>26</v>
      </c>
      <c r="I56" s="129">
        <v>156</v>
      </c>
    </row>
    <row r="57" spans="1:9" x14ac:dyDescent="0.25">
      <c r="A57" s="126" t="s">
        <v>189</v>
      </c>
      <c r="B57" s="126" t="s">
        <v>123</v>
      </c>
      <c r="C57" s="126" t="s">
        <v>115</v>
      </c>
      <c r="D57" s="126">
        <v>4</v>
      </c>
      <c r="E57" s="127">
        <v>30</v>
      </c>
      <c r="G57" s="125" t="s">
        <v>121</v>
      </c>
      <c r="H57" s="128">
        <v>4</v>
      </c>
      <c r="I57" s="129">
        <v>26</v>
      </c>
    </row>
    <row r="58" spans="1:9" x14ac:dyDescent="0.25">
      <c r="A58" s="126" t="s">
        <v>189</v>
      </c>
      <c r="B58" s="126" t="s">
        <v>106</v>
      </c>
      <c r="C58" s="126" t="s">
        <v>120</v>
      </c>
      <c r="D58" s="126">
        <v>4</v>
      </c>
      <c r="E58" s="127">
        <v>92</v>
      </c>
      <c r="G58" s="125" t="s">
        <v>111</v>
      </c>
      <c r="H58" s="128">
        <v>4</v>
      </c>
      <c r="I58" s="129">
        <v>34</v>
      </c>
    </row>
    <row r="59" spans="1:9" x14ac:dyDescent="0.25">
      <c r="A59" s="126" t="s">
        <v>189</v>
      </c>
      <c r="B59" s="126" t="s">
        <v>106</v>
      </c>
      <c r="C59" s="126" t="s">
        <v>111</v>
      </c>
      <c r="D59" s="126">
        <v>3</v>
      </c>
      <c r="E59" s="127">
        <v>76.5</v>
      </c>
      <c r="G59" s="125" t="s">
        <v>118</v>
      </c>
      <c r="H59" s="128">
        <v>12</v>
      </c>
      <c r="I59" s="129">
        <v>102</v>
      </c>
    </row>
    <row r="60" spans="1:9" x14ac:dyDescent="0.25">
      <c r="A60" s="126" t="s">
        <v>189</v>
      </c>
      <c r="B60" s="126" t="s">
        <v>106</v>
      </c>
      <c r="C60" s="126" t="s">
        <v>112</v>
      </c>
      <c r="D60" s="126">
        <v>7</v>
      </c>
      <c r="E60" s="127">
        <v>178.5</v>
      </c>
      <c r="G60" s="125" t="s">
        <v>117</v>
      </c>
      <c r="H60" s="128">
        <v>9</v>
      </c>
      <c r="I60" s="129">
        <v>76.5</v>
      </c>
    </row>
    <row r="61" spans="1:9" x14ac:dyDescent="0.25">
      <c r="A61" s="126" t="s">
        <v>189</v>
      </c>
      <c r="B61" s="126" t="s">
        <v>106</v>
      </c>
      <c r="C61" s="126" t="s">
        <v>113</v>
      </c>
      <c r="D61" s="126">
        <v>9</v>
      </c>
      <c r="E61" s="127">
        <v>229.5</v>
      </c>
      <c r="G61" s="125" t="s">
        <v>107</v>
      </c>
      <c r="H61" s="128">
        <v>18</v>
      </c>
      <c r="I61" s="129">
        <v>27</v>
      </c>
    </row>
    <row r="62" spans="1:9" x14ac:dyDescent="0.25">
      <c r="A62" s="126" t="s">
        <v>189</v>
      </c>
      <c r="B62" s="126" t="s">
        <v>106</v>
      </c>
      <c r="C62" s="126" t="s">
        <v>107</v>
      </c>
      <c r="D62" s="126">
        <v>20</v>
      </c>
      <c r="E62" s="127">
        <v>50</v>
      </c>
      <c r="G62" s="124" t="s">
        <v>108</v>
      </c>
      <c r="H62" s="128">
        <v>231</v>
      </c>
      <c r="I62" s="129">
        <v>3239</v>
      </c>
    </row>
    <row r="63" spans="1:9" x14ac:dyDescent="0.25">
      <c r="A63" s="126" t="s">
        <v>189</v>
      </c>
      <c r="B63" s="126" t="s">
        <v>108</v>
      </c>
      <c r="C63" s="126" t="s">
        <v>109</v>
      </c>
      <c r="D63" s="126">
        <v>33</v>
      </c>
      <c r="E63" s="127">
        <v>66</v>
      </c>
      <c r="G63" s="125" t="s">
        <v>120</v>
      </c>
      <c r="H63" s="128">
        <v>18</v>
      </c>
      <c r="I63" s="129">
        <v>315</v>
      </c>
    </row>
    <row r="64" spans="1:9" x14ac:dyDescent="0.25">
      <c r="A64" s="126" t="s">
        <v>189</v>
      </c>
      <c r="B64" s="126" t="s">
        <v>106</v>
      </c>
      <c r="C64" s="126" t="s">
        <v>110</v>
      </c>
      <c r="D64" s="126">
        <v>3</v>
      </c>
      <c r="E64" s="127">
        <v>69</v>
      </c>
      <c r="G64" s="125" t="s">
        <v>110</v>
      </c>
      <c r="H64" s="128">
        <v>10</v>
      </c>
      <c r="I64" s="129">
        <v>175</v>
      </c>
    </row>
    <row r="65" spans="1:9" x14ac:dyDescent="0.25">
      <c r="A65" s="126" t="s">
        <v>189</v>
      </c>
      <c r="B65" s="126" t="s">
        <v>106</v>
      </c>
      <c r="C65" s="126" t="s">
        <v>117</v>
      </c>
      <c r="D65" s="126">
        <v>6</v>
      </c>
      <c r="E65" s="127">
        <v>153</v>
      </c>
      <c r="G65" s="125" t="s">
        <v>113</v>
      </c>
      <c r="H65" s="128">
        <v>24</v>
      </c>
      <c r="I65" s="129">
        <v>420</v>
      </c>
    </row>
    <row r="66" spans="1:9" x14ac:dyDescent="0.25">
      <c r="A66" s="126" t="s">
        <v>189</v>
      </c>
      <c r="B66" s="126" t="s">
        <v>106</v>
      </c>
      <c r="C66" s="126" t="s">
        <v>118</v>
      </c>
      <c r="D66" s="126">
        <v>19</v>
      </c>
      <c r="E66" s="127">
        <v>484.5</v>
      </c>
      <c r="G66" s="125" t="s">
        <v>116</v>
      </c>
      <c r="H66" s="128">
        <v>8</v>
      </c>
      <c r="I66" s="129">
        <v>140</v>
      </c>
    </row>
    <row r="67" spans="1:9" x14ac:dyDescent="0.25">
      <c r="A67" s="126" t="s">
        <v>189</v>
      </c>
      <c r="B67" s="126" t="s">
        <v>106</v>
      </c>
      <c r="C67" s="126" t="s">
        <v>119</v>
      </c>
      <c r="D67" s="126">
        <v>6</v>
      </c>
      <c r="E67" s="127">
        <v>153</v>
      </c>
      <c r="G67" s="125" t="s">
        <v>114</v>
      </c>
      <c r="H67" s="128">
        <v>5</v>
      </c>
      <c r="I67" s="129">
        <v>87.5</v>
      </c>
    </row>
    <row r="68" spans="1:9" x14ac:dyDescent="0.25">
      <c r="A68" s="126" t="s">
        <v>189</v>
      </c>
      <c r="B68" s="126" t="s">
        <v>106</v>
      </c>
      <c r="C68" s="126" t="s">
        <v>114</v>
      </c>
      <c r="D68" s="126">
        <v>4</v>
      </c>
      <c r="E68" s="127">
        <v>102</v>
      </c>
      <c r="G68" s="125" t="s">
        <v>119</v>
      </c>
      <c r="H68" s="128">
        <v>6</v>
      </c>
      <c r="I68" s="129">
        <v>105</v>
      </c>
    </row>
    <row r="69" spans="1:9" x14ac:dyDescent="0.25">
      <c r="A69" s="126" t="s">
        <v>189</v>
      </c>
      <c r="B69" s="126" t="s">
        <v>106</v>
      </c>
      <c r="C69" s="126" t="s">
        <v>115</v>
      </c>
      <c r="D69" s="126">
        <v>3</v>
      </c>
      <c r="E69" s="127">
        <v>69</v>
      </c>
      <c r="G69" s="125" t="s">
        <v>115</v>
      </c>
      <c r="H69" s="128">
        <v>6</v>
      </c>
      <c r="I69" s="129">
        <v>105</v>
      </c>
    </row>
    <row r="70" spans="1:9" x14ac:dyDescent="0.25">
      <c r="A70" s="126" t="s">
        <v>189</v>
      </c>
      <c r="B70" s="126" t="s">
        <v>106</v>
      </c>
      <c r="C70" s="126" t="s">
        <v>116</v>
      </c>
      <c r="D70" s="126">
        <v>1</v>
      </c>
      <c r="E70" s="127">
        <v>25.5</v>
      </c>
      <c r="G70" s="125" t="s">
        <v>112</v>
      </c>
      <c r="H70" s="128">
        <v>20</v>
      </c>
      <c r="I70" s="129">
        <v>350</v>
      </c>
    </row>
    <row r="71" spans="1:9" x14ac:dyDescent="0.25">
      <c r="A71" s="126" t="s">
        <v>189</v>
      </c>
      <c r="B71" s="126" t="s">
        <v>108</v>
      </c>
      <c r="C71" s="126" t="s">
        <v>116</v>
      </c>
      <c r="D71" s="126">
        <v>8</v>
      </c>
      <c r="E71" s="127">
        <v>140</v>
      </c>
      <c r="G71" s="125" t="s">
        <v>122</v>
      </c>
      <c r="H71" s="128">
        <v>44</v>
      </c>
      <c r="I71" s="129">
        <v>484</v>
      </c>
    </row>
    <row r="72" spans="1:9" x14ac:dyDescent="0.25">
      <c r="A72" s="126" t="s">
        <v>189</v>
      </c>
      <c r="B72" s="126" t="s">
        <v>123</v>
      </c>
      <c r="C72" s="126" t="s">
        <v>122</v>
      </c>
      <c r="D72" s="126">
        <v>26</v>
      </c>
      <c r="E72" s="127">
        <v>156</v>
      </c>
      <c r="G72" s="125" t="s">
        <v>121</v>
      </c>
      <c r="H72" s="128">
        <v>1</v>
      </c>
      <c r="I72" s="129">
        <v>11.5</v>
      </c>
    </row>
    <row r="73" spans="1:9" x14ac:dyDescent="0.25">
      <c r="A73" s="126" t="s">
        <v>189</v>
      </c>
      <c r="B73" s="126" t="s">
        <v>108</v>
      </c>
      <c r="C73" s="126" t="s">
        <v>115</v>
      </c>
      <c r="D73" s="126">
        <v>6</v>
      </c>
      <c r="E73" s="127">
        <v>105</v>
      </c>
      <c r="G73" s="125" t="s">
        <v>111</v>
      </c>
      <c r="H73" s="128">
        <v>5</v>
      </c>
      <c r="I73" s="129">
        <v>87.5</v>
      </c>
    </row>
    <row r="74" spans="1:9" x14ac:dyDescent="0.25">
      <c r="A74" s="126" t="s">
        <v>189</v>
      </c>
      <c r="B74" s="126" t="s">
        <v>123</v>
      </c>
      <c r="C74" s="126" t="s">
        <v>107</v>
      </c>
      <c r="D74" s="126">
        <v>18</v>
      </c>
      <c r="E74" s="127">
        <v>27</v>
      </c>
      <c r="G74" s="125" t="s">
        <v>118</v>
      </c>
      <c r="H74" s="128">
        <v>35</v>
      </c>
      <c r="I74" s="129">
        <v>612.5</v>
      </c>
    </row>
    <row r="75" spans="1:9" x14ac:dyDescent="0.25">
      <c r="A75" s="126" t="s">
        <v>189</v>
      </c>
      <c r="B75" s="126" t="s">
        <v>108</v>
      </c>
      <c r="C75" s="126" t="s">
        <v>110</v>
      </c>
      <c r="D75" s="126">
        <v>10</v>
      </c>
      <c r="E75" s="127">
        <v>175</v>
      </c>
      <c r="G75" s="125" t="s">
        <v>117</v>
      </c>
      <c r="H75" s="128">
        <v>16</v>
      </c>
      <c r="I75" s="129">
        <v>280</v>
      </c>
    </row>
    <row r="76" spans="1:9" x14ac:dyDescent="0.25">
      <c r="A76" s="126" t="s">
        <v>189</v>
      </c>
      <c r="B76" s="126" t="s">
        <v>108</v>
      </c>
      <c r="C76" s="126" t="s">
        <v>113</v>
      </c>
      <c r="D76" s="126">
        <v>24</v>
      </c>
      <c r="E76" s="127">
        <v>420</v>
      </c>
      <c r="G76" s="125" t="s">
        <v>109</v>
      </c>
      <c r="H76" s="128">
        <v>33</v>
      </c>
      <c r="I76" s="129">
        <v>66</v>
      </c>
    </row>
    <row r="77" spans="1:9" x14ac:dyDescent="0.25">
      <c r="A77" s="126" t="s">
        <v>189</v>
      </c>
      <c r="B77" s="126" t="s">
        <v>108</v>
      </c>
      <c r="C77" s="126" t="s">
        <v>114</v>
      </c>
      <c r="D77" s="126">
        <v>5</v>
      </c>
      <c r="E77" s="127">
        <v>87.5</v>
      </c>
      <c r="G77" s="6" t="s">
        <v>37</v>
      </c>
      <c r="H77" s="128">
        <v>1220</v>
      </c>
      <c r="I77" s="129">
        <v>8810.65</v>
      </c>
    </row>
    <row r="78" spans="1:9" x14ac:dyDescent="0.25">
      <c r="A78" s="126" t="s">
        <v>189</v>
      </c>
      <c r="B78" s="126" t="s">
        <v>108</v>
      </c>
      <c r="C78" s="126" t="s">
        <v>111</v>
      </c>
      <c r="D78" s="126">
        <v>5</v>
      </c>
      <c r="E78" s="127">
        <v>87.5</v>
      </c>
    </row>
    <row r="79" spans="1:9" x14ac:dyDescent="0.25">
      <c r="A79" s="126" t="s">
        <v>189</v>
      </c>
      <c r="B79" s="126" t="s">
        <v>108</v>
      </c>
      <c r="C79" s="126" t="s">
        <v>112</v>
      </c>
      <c r="D79" s="126">
        <v>20</v>
      </c>
      <c r="E79" s="127">
        <v>350</v>
      </c>
    </row>
    <row r="80" spans="1:9" x14ac:dyDescent="0.25">
      <c r="A80" s="126" t="s">
        <v>189</v>
      </c>
      <c r="B80" s="126" t="s">
        <v>123</v>
      </c>
      <c r="C80" s="126" t="s">
        <v>121</v>
      </c>
      <c r="D80" s="126">
        <v>4</v>
      </c>
      <c r="E80" s="127">
        <v>26</v>
      </c>
    </row>
    <row r="81" spans="1:5" x14ac:dyDescent="0.25">
      <c r="A81" s="126" t="s">
        <v>189</v>
      </c>
      <c r="B81" s="126" t="s">
        <v>108</v>
      </c>
      <c r="C81" s="126" t="s">
        <v>119</v>
      </c>
      <c r="D81" s="126">
        <v>6</v>
      </c>
      <c r="E81" s="127">
        <v>105</v>
      </c>
    </row>
    <row r="82" spans="1:5" x14ac:dyDescent="0.25">
      <c r="A82" s="126" t="s">
        <v>189</v>
      </c>
      <c r="B82" s="126" t="s">
        <v>108</v>
      </c>
      <c r="C82" s="126" t="s">
        <v>120</v>
      </c>
      <c r="D82" s="126">
        <v>18</v>
      </c>
      <c r="E82" s="127">
        <v>315</v>
      </c>
    </row>
    <row r="83" spans="1:5" x14ac:dyDescent="0.25">
      <c r="A83" s="126" t="s">
        <v>189</v>
      </c>
      <c r="B83" s="126" t="s">
        <v>108</v>
      </c>
      <c r="C83" s="126" t="s">
        <v>117</v>
      </c>
      <c r="D83" s="126">
        <v>16</v>
      </c>
      <c r="E83" s="127">
        <v>280</v>
      </c>
    </row>
    <row r="84" spans="1:5" x14ac:dyDescent="0.25">
      <c r="A84" s="126" t="s">
        <v>189</v>
      </c>
      <c r="B84" s="126" t="s">
        <v>108</v>
      </c>
      <c r="C84" s="126" t="s">
        <v>118</v>
      </c>
      <c r="D84" s="126">
        <v>35</v>
      </c>
      <c r="E84" s="127">
        <v>612.5</v>
      </c>
    </row>
    <row r="85" spans="1:5" x14ac:dyDescent="0.25">
      <c r="A85" s="126" t="s">
        <v>189</v>
      </c>
      <c r="B85" s="126" t="s">
        <v>108</v>
      </c>
      <c r="C85" s="126" t="s">
        <v>121</v>
      </c>
      <c r="D85" s="126">
        <v>1</v>
      </c>
      <c r="E85" s="127">
        <v>11.5</v>
      </c>
    </row>
    <row r="86" spans="1:5" x14ac:dyDescent="0.25">
      <c r="A86" s="126" t="s">
        <v>189</v>
      </c>
      <c r="B86" s="126" t="s">
        <v>123</v>
      </c>
      <c r="C86" s="126" t="s">
        <v>120</v>
      </c>
      <c r="D86" s="126">
        <v>11</v>
      </c>
      <c r="E86" s="127">
        <v>93.5</v>
      </c>
    </row>
    <row r="87" spans="1:5" x14ac:dyDescent="0.25">
      <c r="A87" s="126" t="s">
        <v>189</v>
      </c>
      <c r="B87" s="126" t="s">
        <v>123</v>
      </c>
      <c r="C87" s="126" t="s">
        <v>119</v>
      </c>
      <c r="D87" s="126">
        <v>6</v>
      </c>
      <c r="E87" s="127">
        <v>51</v>
      </c>
    </row>
    <row r="88" spans="1:5" x14ac:dyDescent="0.25">
      <c r="A88" s="126" t="s">
        <v>139</v>
      </c>
      <c r="B88" s="126" t="s">
        <v>139</v>
      </c>
      <c r="C88" s="126" t="s">
        <v>186</v>
      </c>
      <c r="D88" s="126">
        <v>7</v>
      </c>
      <c r="E88" s="127">
        <v>14</v>
      </c>
    </row>
    <row r="89" spans="1:5" x14ac:dyDescent="0.25">
      <c r="A89" s="126" t="s">
        <v>139</v>
      </c>
      <c r="B89" s="126" t="s">
        <v>139</v>
      </c>
      <c r="C89" s="126" t="s">
        <v>185</v>
      </c>
      <c r="D89" s="126">
        <v>20</v>
      </c>
      <c r="E89" s="127">
        <v>50</v>
      </c>
    </row>
    <row r="90" spans="1:5" x14ac:dyDescent="0.25">
      <c r="A90" s="126" t="s">
        <v>139</v>
      </c>
      <c r="B90" s="126" t="s">
        <v>139</v>
      </c>
      <c r="C90" s="126" t="s">
        <v>171</v>
      </c>
      <c r="D90" s="126">
        <v>15</v>
      </c>
      <c r="E90" s="127">
        <v>14.5</v>
      </c>
    </row>
    <row r="91" spans="1:5" x14ac:dyDescent="0.25">
      <c r="A91" s="126" t="s">
        <v>139</v>
      </c>
      <c r="B91" s="126" t="s">
        <v>139</v>
      </c>
      <c r="C91" s="126" t="s">
        <v>187</v>
      </c>
      <c r="D91" s="126">
        <v>5</v>
      </c>
      <c r="E91" s="127">
        <v>9.5</v>
      </c>
    </row>
    <row r="92" spans="1:5" x14ac:dyDescent="0.25">
      <c r="A92" s="126" t="s">
        <v>139</v>
      </c>
      <c r="B92" s="126" t="s">
        <v>139</v>
      </c>
      <c r="C92" s="126" t="s">
        <v>288</v>
      </c>
      <c r="D92" s="126">
        <v>3</v>
      </c>
      <c r="E92" s="127">
        <v>6.9</v>
      </c>
    </row>
    <row r="93" spans="1:5" x14ac:dyDescent="0.25">
      <c r="A93" s="126" t="s">
        <v>139</v>
      </c>
      <c r="B93" s="126" t="s">
        <v>139</v>
      </c>
      <c r="C93" s="126" t="s">
        <v>142</v>
      </c>
      <c r="D93" s="126">
        <v>55</v>
      </c>
      <c r="E93" s="127">
        <v>107.5</v>
      </c>
    </row>
    <row r="94" spans="1:5" x14ac:dyDescent="0.25">
      <c r="A94" s="126" t="s">
        <v>139</v>
      </c>
      <c r="B94" s="126" t="s">
        <v>139</v>
      </c>
      <c r="C94" s="126" t="s">
        <v>140</v>
      </c>
      <c r="D94" s="126">
        <v>46</v>
      </c>
      <c r="E94" s="127">
        <v>105.8</v>
      </c>
    </row>
    <row r="95" spans="1:5" x14ac:dyDescent="0.25">
      <c r="A95" s="126" t="s">
        <v>139</v>
      </c>
      <c r="B95" s="126" t="s">
        <v>139</v>
      </c>
      <c r="C95" s="126" t="s">
        <v>141</v>
      </c>
      <c r="D95" s="126">
        <v>23</v>
      </c>
      <c r="E95" s="127">
        <v>44.5</v>
      </c>
    </row>
    <row r="96" spans="1:5" x14ac:dyDescent="0.25">
      <c r="A96" s="126" t="s">
        <v>139</v>
      </c>
      <c r="B96" s="126" t="s">
        <v>139</v>
      </c>
      <c r="C96" s="126" t="s">
        <v>145</v>
      </c>
      <c r="D96" s="126">
        <v>14</v>
      </c>
      <c r="E96" s="127">
        <v>28</v>
      </c>
    </row>
    <row r="97" spans="1:5" x14ac:dyDescent="0.25">
      <c r="A97" s="126" t="s">
        <v>139</v>
      </c>
      <c r="B97" s="126" t="s">
        <v>139</v>
      </c>
      <c r="C97" s="126" t="s">
        <v>144</v>
      </c>
      <c r="D97" s="126">
        <v>23</v>
      </c>
      <c r="E97" s="127">
        <v>46</v>
      </c>
    </row>
    <row r="98" spans="1:5" x14ac:dyDescent="0.25">
      <c r="A98" s="126" t="s">
        <v>139</v>
      </c>
      <c r="B98" s="126" t="s">
        <v>139</v>
      </c>
      <c r="C98" s="126" t="s">
        <v>143</v>
      </c>
      <c r="D98" s="126">
        <v>3</v>
      </c>
      <c r="E98" s="130">
        <v>6.9</v>
      </c>
    </row>
    <row r="99" spans="1:5" x14ac:dyDescent="0.25">
      <c r="A99" s="126" t="s">
        <v>158</v>
      </c>
      <c r="B99" s="126" t="s">
        <v>158</v>
      </c>
      <c r="C99" s="126" t="s">
        <v>158</v>
      </c>
      <c r="D99" s="126">
        <v>5</v>
      </c>
      <c r="E99" s="130">
        <v>8</v>
      </c>
    </row>
    <row r="100" spans="1:5" x14ac:dyDescent="0.25">
      <c r="A100" s="126" t="s">
        <v>125</v>
      </c>
      <c r="B100" s="126" t="s">
        <v>125</v>
      </c>
      <c r="C100" s="126" t="s">
        <v>126</v>
      </c>
      <c r="D100" s="126">
        <v>10</v>
      </c>
      <c r="E100" s="130">
        <v>60</v>
      </c>
    </row>
    <row r="101" spans="1:5" x14ac:dyDescent="0.25">
      <c r="A101" s="126" t="s">
        <v>125</v>
      </c>
      <c r="B101" s="126" t="s">
        <v>125</v>
      </c>
      <c r="C101" s="126" t="s">
        <v>127</v>
      </c>
      <c r="D101" s="126">
        <v>10</v>
      </c>
      <c r="E101" s="130">
        <v>26.5</v>
      </c>
    </row>
    <row r="102" spans="1:5" x14ac:dyDescent="0.25">
      <c r="A102" s="126" t="s">
        <v>170</v>
      </c>
      <c r="B102" s="126" t="s">
        <v>170</v>
      </c>
      <c r="C102" s="126" t="s">
        <v>181</v>
      </c>
      <c r="D102" s="126">
        <v>6</v>
      </c>
      <c r="E102" s="130">
        <v>18</v>
      </c>
    </row>
    <row r="103" spans="1:5" x14ac:dyDescent="0.25">
      <c r="A103" s="126" t="s">
        <v>170</v>
      </c>
      <c r="B103" s="126" t="s">
        <v>178</v>
      </c>
      <c r="C103" s="126" t="s">
        <v>180</v>
      </c>
      <c r="D103" s="126">
        <v>5</v>
      </c>
      <c r="E103" s="130">
        <v>50</v>
      </c>
    </row>
    <row r="104" spans="1:5" x14ac:dyDescent="0.25">
      <c r="A104" s="126" t="s">
        <v>170</v>
      </c>
      <c r="B104" s="126" t="s">
        <v>170</v>
      </c>
      <c r="C104" s="126" t="s">
        <v>173</v>
      </c>
      <c r="D104" s="126">
        <v>2</v>
      </c>
      <c r="E104" s="130">
        <v>2.6</v>
      </c>
    </row>
    <row r="105" spans="1:5" x14ac:dyDescent="0.25">
      <c r="A105" s="126" t="s">
        <v>170</v>
      </c>
      <c r="B105" s="126" t="s">
        <v>170</v>
      </c>
      <c r="C105" s="126" t="s">
        <v>176</v>
      </c>
      <c r="D105" s="126">
        <v>30</v>
      </c>
      <c r="E105" s="130">
        <v>48</v>
      </c>
    </row>
    <row r="106" spans="1:5" x14ac:dyDescent="0.25">
      <c r="A106" s="126" t="s">
        <v>170</v>
      </c>
      <c r="B106" s="126" t="s">
        <v>170</v>
      </c>
      <c r="C106" s="126" t="s">
        <v>172</v>
      </c>
      <c r="D106" s="126">
        <v>11</v>
      </c>
      <c r="E106" s="130">
        <v>19.8</v>
      </c>
    </row>
    <row r="107" spans="1:5" x14ac:dyDescent="0.25">
      <c r="A107" s="126" t="s">
        <v>170</v>
      </c>
      <c r="B107" s="126" t="s">
        <v>170</v>
      </c>
      <c r="C107" s="126" t="s">
        <v>179</v>
      </c>
      <c r="D107" s="126">
        <v>6</v>
      </c>
      <c r="E107" s="130">
        <v>7.8</v>
      </c>
    </row>
    <row r="108" spans="1:5" x14ac:dyDescent="0.25">
      <c r="A108" s="126" t="s">
        <v>170</v>
      </c>
      <c r="B108" s="126" t="s">
        <v>170</v>
      </c>
      <c r="C108" s="126" t="s">
        <v>174</v>
      </c>
      <c r="D108" s="126">
        <v>26</v>
      </c>
      <c r="E108" s="130">
        <v>41.6</v>
      </c>
    </row>
    <row r="109" spans="1:5" x14ac:dyDescent="0.25">
      <c r="A109" s="126" t="s">
        <v>170</v>
      </c>
      <c r="B109" s="126" t="s">
        <v>170</v>
      </c>
      <c r="C109" s="126" t="s">
        <v>175</v>
      </c>
      <c r="D109" s="126">
        <v>17</v>
      </c>
      <c r="E109" s="130">
        <v>25.5</v>
      </c>
    </row>
    <row r="110" spans="1:5" x14ac:dyDescent="0.25">
      <c r="A110" s="126" t="s">
        <v>170</v>
      </c>
      <c r="B110" s="126" t="s">
        <v>178</v>
      </c>
      <c r="C110" s="126" t="s">
        <v>179</v>
      </c>
      <c r="D110" s="126">
        <v>2</v>
      </c>
      <c r="E110" s="130">
        <v>16.899999999999999</v>
      </c>
    </row>
    <row r="111" spans="1:5" x14ac:dyDescent="0.25">
      <c r="A111" s="126" t="s">
        <v>170</v>
      </c>
      <c r="B111" s="126" t="s">
        <v>178</v>
      </c>
      <c r="C111" s="126" t="s">
        <v>174</v>
      </c>
      <c r="D111" s="126">
        <v>2</v>
      </c>
      <c r="E111" s="130">
        <v>17</v>
      </c>
    </row>
    <row r="112" spans="1:5" x14ac:dyDescent="0.25">
      <c r="A112" s="126" t="s">
        <v>170</v>
      </c>
      <c r="B112" s="126" t="s">
        <v>170</v>
      </c>
      <c r="C112" s="126" t="s">
        <v>177</v>
      </c>
      <c r="D112" s="126">
        <v>4</v>
      </c>
      <c r="E112" s="130">
        <v>6</v>
      </c>
    </row>
    <row r="113" spans="1:5" x14ac:dyDescent="0.25">
      <c r="A113" s="126" t="s">
        <v>155</v>
      </c>
      <c r="B113" s="126" t="s">
        <v>155</v>
      </c>
      <c r="C113" s="126" t="s">
        <v>156</v>
      </c>
      <c r="D113" s="126">
        <v>5</v>
      </c>
      <c r="E113" s="130">
        <v>12.5</v>
      </c>
    </row>
    <row r="114" spans="1:5" x14ac:dyDescent="0.25">
      <c r="A114" s="126" t="s">
        <v>155</v>
      </c>
      <c r="B114" s="126" t="s">
        <v>155</v>
      </c>
      <c r="C114" s="126" t="s">
        <v>157</v>
      </c>
      <c r="D114" s="126">
        <v>4</v>
      </c>
      <c r="E114" s="130">
        <v>10</v>
      </c>
    </row>
    <row r="115" spans="1:5" x14ac:dyDescent="0.25">
      <c r="A115" s="126" t="s">
        <v>155</v>
      </c>
      <c r="B115" s="126" t="s">
        <v>155</v>
      </c>
      <c r="C115" s="126" t="s">
        <v>298</v>
      </c>
      <c r="D115" s="126">
        <v>1</v>
      </c>
      <c r="E115" s="130">
        <v>2.5</v>
      </c>
    </row>
  </sheetData>
  <pageMargins left="0.7" right="0.7" top="0.75" bottom="0.75" header="0.3" footer="0.3"/>
  <pageSetup paperSize="0" orientation="portrait" horizontalDpi="203" verticalDpi="203"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14BE0C-A860-4BB8-A6C0-E708759678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94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5</vt:i4>
      </vt:variant>
    </vt:vector>
  </HeadingPairs>
  <TitlesOfParts>
    <vt:vector size="23" baseType="lpstr">
      <vt:lpstr>Carga de Datos</vt:lpstr>
      <vt:lpstr>Ventas Diarias</vt:lpstr>
      <vt:lpstr>Ventas</vt:lpstr>
      <vt:lpstr>GastosFijos</vt:lpstr>
      <vt:lpstr>Proveedores</vt:lpstr>
      <vt:lpstr>Nomina</vt:lpstr>
      <vt:lpstr>Datos</vt:lpstr>
      <vt:lpstr>MovimientoProductos</vt:lpstr>
      <vt:lpstr>Pago a Proveedores</vt:lpstr>
      <vt:lpstr>Detalle Mensual</vt:lpstr>
      <vt:lpstr>Cajachica</vt:lpstr>
      <vt:lpstr>usuarios</vt:lpstr>
      <vt:lpstr>Logo</vt:lpstr>
      <vt:lpstr>Pendientes</vt:lpstr>
      <vt:lpstr>Banco</vt:lpstr>
      <vt:lpstr>Tendencias</vt:lpstr>
      <vt:lpstr>Graficos</vt:lpstr>
      <vt:lpstr>Tablas</vt:lpstr>
      <vt:lpstr>dinamica</vt:lpstr>
      <vt:lpstr>Pendientes</vt:lpstr>
      <vt:lpstr>query</vt:lpstr>
      <vt:lpstr>TablaProveedor</vt:lpstr>
      <vt:lpstr>TablaVentas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Calderaro</dc:creator>
  <cp:lastModifiedBy>Julio César Calderaro A.</cp:lastModifiedBy>
  <cp:revision>39</cp:revision>
  <cp:lastPrinted>2019-09-09T19:11:11Z</cp:lastPrinted>
  <dcterms:created xsi:type="dcterms:W3CDTF">2019-08-23T17:55:30Z</dcterms:created>
  <dcterms:modified xsi:type="dcterms:W3CDTF">2022-05-07T20:34:50Z</dcterms:modified>
  <dc:language>es-ES</dc:language>
</cp:coreProperties>
</file>